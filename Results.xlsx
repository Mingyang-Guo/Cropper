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cymg\Desktop\"/>
    </mc:Choice>
  </mc:AlternateContent>
  <xr:revisionPtr revIDLastSave="0" documentId="13_ncr:1_{A41C83C7-EFFC-4970-9C10-2540C3B6AF8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Q22" i="1" l="1"/>
  <c r="DO22" i="1"/>
  <c r="CY22" i="1"/>
  <c r="CW22" i="1"/>
  <c r="CF22" i="1"/>
  <c r="CD22" i="1"/>
  <c r="BP22" i="1"/>
  <c r="BN22" i="1"/>
  <c r="AZ22" i="1"/>
  <c r="AX22" i="1"/>
  <c r="AI22" i="1"/>
  <c r="AG22" i="1"/>
  <c r="Q22" i="1"/>
  <c r="O22" i="1"/>
  <c r="DQ21" i="1"/>
  <c r="DO21" i="1"/>
  <c r="CY21" i="1"/>
  <c r="CW21" i="1"/>
  <c r="CF21" i="1"/>
  <c r="CD21" i="1"/>
  <c r="BP21" i="1"/>
  <c r="BN21" i="1"/>
  <c r="AZ21" i="1"/>
  <c r="AX21" i="1"/>
  <c r="AI21" i="1"/>
  <c r="AG21" i="1"/>
  <c r="Q21" i="1"/>
  <c r="O21" i="1"/>
  <c r="DQ20" i="1"/>
  <c r="DO20" i="1"/>
  <c r="CY20" i="1"/>
  <c r="CW20" i="1"/>
  <c r="CF20" i="1"/>
  <c r="CD20" i="1"/>
  <c r="BP20" i="1"/>
  <c r="BN20" i="1"/>
  <c r="AZ20" i="1"/>
  <c r="AX20" i="1"/>
  <c r="AI20" i="1"/>
  <c r="AG20" i="1"/>
  <c r="Q20" i="1"/>
  <c r="O20" i="1"/>
  <c r="DQ19" i="1"/>
  <c r="DO19" i="1"/>
  <c r="CY19" i="1"/>
  <c r="CW19" i="1"/>
  <c r="CF19" i="1"/>
  <c r="CD19" i="1"/>
  <c r="BP19" i="1"/>
  <c r="BN19" i="1"/>
  <c r="AZ19" i="1"/>
  <c r="AX19" i="1"/>
  <c r="AI19" i="1"/>
  <c r="AG19" i="1"/>
  <c r="Q19" i="1"/>
  <c r="O19" i="1"/>
  <c r="DQ18" i="1"/>
  <c r="DO18" i="1"/>
  <c r="CY18" i="1"/>
  <c r="CW18" i="1"/>
  <c r="CF18" i="1"/>
  <c r="CD18" i="1"/>
  <c r="BP18" i="1"/>
  <c r="BN18" i="1"/>
  <c r="AZ18" i="1"/>
  <c r="AX18" i="1"/>
  <c r="AI18" i="1"/>
  <c r="AG18" i="1"/>
  <c r="Q18" i="1"/>
  <c r="O18" i="1"/>
  <c r="DQ30" i="1"/>
  <c r="DO30" i="1"/>
  <c r="CY30" i="1"/>
  <c r="CW30" i="1"/>
  <c r="CF30" i="1"/>
  <c r="CD30" i="1"/>
  <c r="BP30" i="1"/>
  <c r="BN30" i="1"/>
  <c r="AZ30" i="1"/>
  <c r="AX30" i="1"/>
  <c r="AI30" i="1"/>
  <c r="AG30" i="1"/>
  <c r="Q30" i="1"/>
  <c r="O30" i="1"/>
  <c r="DQ29" i="1"/>
  <c r="DO29" i="1"/>
  <c r="CY29" i="1"/>
  <c r="CW29" i="1"/>
  <c r="CF29" i="1"/>
  <c r="CD29" i="1"/>
  <c r="BP29" i="1"/>
  <c r="BN29" i="1"/>
  <c r="AZ29" i="1"/>
  <c r="AX29" i="1"/>
  <c r="AI29" i="1"/>
  <c r="AG29" i="1"/>
  <c r="Q29" i="1"/>
  <c r="O29" i="1"/>
  <c r="DQ28" i="1"/>
  <c r="DO28" i="1"/>
  <c r="CY28" i="1"/>
  <c r="CW28" i="1"/>
  <c r="CF28" i="1"/>
  <c r="CD28" i="1"/>
  <c r="BP28" i="1"/>
  <c r="BN28" i="1"/>
  <c r="AZ28" i="1"/>
  <c r="AX28" i="1"/>
  <c r="AI28" i="1"/>
  <c r="AG28" i="1"/>
  <c r="Q28" i="1"/>
  <c r="O28" i="1"/>
  <c r="DQ27" i="1"/>
  <c r="DO27" i="1"/>
  <c r="CY27" i="1"/>
  <c r="CW27" i="1"/>
  <c r="CF27" i="1"/>
  <c r="CD27" i="1"/>
  <c r="BP27" i="1"/>
  <c r="BN27" i="1"/>
  <c r="AZ27" i="1"/>
  <c r="AX27" i="1"/>
  <c r="AI27" i="1"/>
  <c r="AG27" i="1"/>
  <c r="Q27" i="1"/>
  <c r="O27" i="1"/>
  <c r="DQ26" i="1"/>
  <c r="DO26" i="1"/>
  <c r="CY26" i="1"/>
  <c r="CW26" i="1"/>
  <c r="CF26" i="1"/>
  <c r="CD26" i="1"/>
  <c r="BP26" i="1"/>
  <c r="BN26" i="1"/>
  <c r="AZ26" i="1"/>
  <c r="AX26" i="1"/>
  <c r="AI26" i="1"/>
  <c r="AG26" i="1"/>
  <c r="Q26" i="1"/>
  <c r="O26" i="1"/>
  <c r="DQ47" i="1"/>
  <c r="DO47" i="1"/>
  <c r="CY47" i="1"/>
  <c r="CW47" i="1"/>
  <c r="CF47" i="1"/>
  <c r="CD47" i="1"/>
  <c r="BP47" i="1"/>
  <c r="BN47" i="1"/>
  <c r="AZ47" i="1"/>
  <c r="AX47" i="1"/>
  <c r="AI47" i="1"/>
  <c r="AG47" i="1"/>
  <c r="Q47" i="1"/>
  <c r="O47" i="1"/>
  <c r="DQ46" i="1"/>
  <c r="DO46" i="1"/>
  <c r="CY46" i="1"/>
  <c r="CW46" i="1"/>
  <c r="CF46" i="1"/>
  <c r="CD46" i="1"/>
  <c r="BP46" i="1"/>
  <c r="BN46" i="1"/>
  <c r="AZ46" i="1"/>
  <c r="AX46" i="1"/>
  <c r="AI46" i="1"/>
  <c r="AG46" i="1"/>
  <c r="Q46" i="1"/>
  <c r="O46" i="1"/>
  <c r="DQ45" i="1"/>
  <c r="DO45" i="1"/>
  <c r="CY45" i="1"/>
  <c r="CW45" i="1"/>
  <c r="CF45" i="1"/>
  <c r="CD45" i="1"/>
  <c r="BP45" i="1"/>
  <c r="BN45" i="1"/>
  <c r="AZ45" i="1"/>
  <c r="AX45" i="1"/>
  <c r="AI45" i="1"/>
  <c r="AG45" i="1"/>
  <c r="Q45" i="1"/>
  <c r="O45" i="1"/>
  <c r="DQ44" i="1"/>
  <c r="DO44" i="1"/>
  <c r="CY44" i="1"/>
  <c r="CW44" i="1"/>
  <c r="CF44" i="1"/>
  <c r="CD44" i="1"/>
  <c r="BP44" i="1"/>
  <c r="BN44" i="1"/>
  <c r="AZ44" i="1"/>
  <c r="AX44" i="1"/>
  <c r="AI44" i="1"/>
  <c r="AG44" i="1"/>
  <c r="Q44" i="1"/>
  <c r="O44" i="1"/>
  <c r="DQ43" i="1"/>
  <c r="DO43" i="1"/>
  <c r="CY43" i="1"/>
  <c r="CW43" i="1"/>
  <c r="CF43" i="1"/>
  <c r="CD43" i="1"/>
  <c r="BP43" i="1"/>
  <c r="BN43" i="1"/>
  <c r="AZ43" i="1"/>
  <c r="AX43" i="1"/>
  <c r="AI43" i="1"/>
  <c r="AG43" i="1"/>
  <c r="Q43" i="1"/>
  <c r="O43" i="1"/>
  <c r="DQ38" i="1"/>
  <c r="DO38" i="1"/>
  <c r="CY38" i="1"/>
  <c r="CW38" i="1"/>
  <c r="CF38" i="1"/>
  <c r="CD38" i="1"/>
  <c r="BP38" i="1"/>
  <c r="BN38" i="1"/>
  <c r="AZ38" i="1"/>
  <c r="AX38" i="1"/>
  <c r="AI38" i="1"/>
  <c r="AG38" i="1"/>
  <c r="Q38" i="1"/>
  <c r="O38" i="1"/>
  <c r="DQ37" i="1"/>
  <c r="DO37" i="1"/>
  <c r="CY37" i="1"/>
  <c r="CW37" i="1"/>
  <c r="CF37" i="1"/>
  <c r="CD37" i="1"/>
  <c r="BP37" i="1"/>
  <c r="BN37" i="1"/>
  <c r="AZ37" i="1"/>
  <c r="AX37" i="1"/>
  <c r="AI37" i="1"/>
  <c r="AG37" i="1"/>
  <c r="Q37" i="1"/>
  <c r="O37" i="1"/>
  <c r="DQ36" i="1"/>
  <c r="DO36" i="1"/>
  <c r="CY36" i="1"/>
  <c r="CW36" i="1"/>
  <c r="CF36" i="1"/>
  <c r="CD36" i="1"/>
  <c r="BP36" i="1"/>
  <c r="BN36" i="1"/>
  <c r="AZ36" i="1"/>
  <c r="AX36" i="1"/>
  <c r="AI36" i="1"/>
  <c r="AG36" i="1"/>
  <c r="Q36" i="1"/>
  <c r="O36" i="1"/>
  <c r="DQ35" i="1"/>
  <c r="DO35" i="1"/>
  <c r="CY35" i="1"/>
  <c r="CW35" i="1"/>
  <c r="CF35" i="1"/>
  <c r="CD35" i="1"/>
  <c r="BP35" i="1"/>
  <c r="BN35" i="1"/>
  <c r="AZ35" i="1"/>
  <c r="AX35" i="1"/>
  <c r="AI35" i="1"/>
  <c r="AG35" i="1"/>
  <c r="Q35" i="1"/>
  <c r="O35" i="1"/>
  <c r="DQ34" i="1"/>
  <c r="DO34" i="1"/>
  <c r="CY34" i="1"/>
  <c r="CW34" i="1"/>
  <c r="CF34" i="1"/>
  <c r="CD34" i="1"/>
  <c r="BP34" i="1"/>
  <c r="BN34" i="1"/>
  <c r="AZ34" i="1"/>
  <c r="AX34" i="1"/>
  <c r="AI34" i="1"/>
  <c r="AG34" i="1"/>
  <c r="Q34" i="1"/>
  <c r="O34" i="1"/>
  <c r="DQ15" i="1"/>
  <c r="DO15" i="1"/>
  <c r="CY15" i="1"/>
  <c r="CW15" i="1"/>
  <c r="CF15" i="1"/>
  <c r="CD15" i="1"/>
  <c r="BP15" i="1"/>
  <c r="BN15" i="1"/>
  <c r="AZ15" i="1"/>
  <c r="AX15" i="1"/>
  <c r="AI15" i="1"/>
  <c r="AG15" i="1"/>
  <c r="Q15" i="1"/>
  <c r="O15" i="1"/>
  <c r="DQ14" i="1"/>
  <c r="DO14" i="1"/>
  <c r="CY14" i="1"/>
  <c r="CW14" i="1"/>
  <c r="CF14" i="1"/>
  <c r="CD14" i="1"/>
  <c r="BP14" i="1"/>
  <c r="BN14" i="1"/>
  <c r="AZ14" i="1"/>
  <c r="AX14" i="1"/>
  <c r="AI14" i="1"/>
  <c r="AG14" i="1"/>
  <c r="Q14" i="1"/>
  <c r="O14" i="1"/>
  <c r="DQ13" i="1"/>
  <c r="DO13" i="1"/>
  <c r="CY13" i="1"/>
  <c r="CW13" i="1"/>
  <c r="CF13" i="1"/>
  <c r="CD13" i="1"/>
  <c r="BP13" i="1"/>
  <c r="BN13" i="1"/>
  <c r="AZ13" i="1"/>
  <c r="AX13" i="1"/>
  <c r="AI13" i="1"/>
  <c r="AG13" i="1"/>
  <c r="Q13" i="1"/>
  <c r="O13" i="1"/>
  <c r="DQ12" i="1"/>
  <c r="DO12" i="1"/>
  <c r="CY12" i="1"/>
  <c r="CW12" i="1"/>
  <c r="CF12" i="1"/>
  <c r="CD12" i="1"/>
  <c r="BP12" i="1"/>
  <c r="BN12" i="1"/>
  <c r="AZ12" i="1"/>
  <c r="AX12" i="1"/>
  <c r="AI12" i="1"/>
  <c r="AG12" i="1"/>
  <c r="Q12" i="1"/>
  <c r="O12" i="1"/>
  <c r="DQ11" i="1"/>
  <c r="DO11" i="1"/>
  <c r="CY11" i="1"/>
  <c r="CW11" i="1"/>
  <c r="CF11" i="1"/>
  <c r="CD11" i="1"/>
  <c r="BP11" i="1"/>
  <c r="BN11" i="1"/>
  <c r="AZ11" i="1"/>
  <c r="AX11" i="1"/>
  <c r="AI11" i="1"/>
  <c r="AG11" i="1"/>
  <c r="Q11" i="1"/>
  <c r="O11" i="1"/>
  <c r="DQ6" i="1"/>
  <c r="DO6" i="1"/>
  <c r="CY6" i="1"/>
  <c r="CW6" i="1"/>
  <c r="CF6" i="1"/>
  <c r="CD6" i="1"/>
  <c r="BP6" i="1"/>
  <c r="BN6" i="1"/>
  <c r="AZ6" i="1"/>
  <c r="AX6" i="1"/>
  <c r="AI6" i="1"/>
  <c r="AG6" i="1"/>
  <c r="Q6" i="1"/>
  <c r="O6" i="1"/>
  <c r="DQ5" i="1"/>
  <c r="DO5" i="1"/>
  <c r="CY5" i="1"/>
  <c r="CW5" i="1"/>
  <c r="CF5" i="1"/>
  <c r="CD5" i="1"/>
  <c r="BP5" i="1"/>
  <c r="BN5" i="1"/>
  <c r="AZ5" i="1"/>
  <c r="AX5" i="1"/>
  <c r="AI5" i="1"/>
  <c r="AG5" i="1"/>
  <c r="Q5" i="1"/>
  <c r="O5" i="1"/>
  <c r="DQ4" i="1"/>
  <c r="DO4" i="1"/>
  <c r="CY4" i="1"/>
  <c r="CW4" i="1"/>
  <c r="CF4" i="1"/>
  <c r="CD4" i="1"/>
  <c r="BP4" i="1"/>
  <c r="BN4" i="1"/>
  <c r="AZ4" i="1"/>
  <c r="AX4" i="1"/>
  <c r="AI4" i="1"/>
  <c r="AG4" i="1"/>
  <c r="Q4" i="1"/>
  <c r="O4" i="1"/>
  <c r="DQ3" i="1"/>
  <c r="DO3" i="1"/>
  <c r="CY3" i="1"/>
  <c r="CW3" i="1"/>
  <c r="CF3" i="1"/>
  <c r="CD3" i="1"/>
  <c r="BP3" i="1"/>
  <c r="BN3" i="1"/>
  <c r="AZ3" i="1"/>
  <c r="AX3" i="1"/>
  <c r="AI3" i="1"/>
  <c r="AG3" i="1"/>
  <c r="Q3" i="1"/>
  <c r="O3" i="1"/>
  <c r="DQ2" i="1"/>
  <c r="DO2" i="1"/>
  <c r="CY2" i="1"/>
  <c r="CW2" i="1"/>
  <c r="CF2" i="1"/>
  <c r="CD2" i="1"/>
  <c r="BP2" i="1"/>
  <c r="BN2" i="1"/>
  <c r="AZ2" i="1"/>
  <c r="AX2" i="1"/>
  <c r="AI2" i="1"/>
  <c r="AG2" i="1"/>
  <c r="Q2" i="1"/>
  <c r="O2" i="1"/>
</calcChain>
</file>

<file path=xl/sharedStrings.xml><?xml version="1.0" encoding="utf-8"?>
<sst xmlns="http://schemas.openxmlformats.org/spreadsheetml/2006/main" count="107" uniqueCount="23">
  <si>
    <t>Apple</t>
    <phoneticPr fontId="1" type="noConversion"/>
  </si>
  <si>
    <t>Tomato</t>
    <phoneticPr fontId="1" type="noConversion"/>
  </si>
  <si>
    <t>Rice</t>
    <phoneticPr fontId="1" type="noConversion"/>
  </si>
  <si>
    <t>Betel</t>
    <phoneticPr fontId="1" type="noConversion"/>
  </si>
  <si>
    <t>Cabbafe</t>
    <phoneticPr fontId="1" type="noConversion"/>
  </si>
  <si>
    <t>Cabbage2</t>
    <phoneticPr fontId="1" type="noConversion"/>
  </si>
  <si>
    <t>Pumpkin</t>
    <phoneticPr fontId="1" type="noConversion"/>
  </si>
  <si>
    <t>PlantDet</t>
    <phoneticPr fontId="1" type="noConversion"/>
  </si>
  <si>
    <t>acc</t>
    <phoneticPr fontId="1" type="noConversion"/>
  </si>
  <si>
    <t>recall</t>
    <phoneticPr fontId="1" type="noConversion"/>
  </si>
  <si>
    <t>F1</t>
    <phoneticPr fontId="1" type="noConversion"/>
  </si>
  <si>
    <t>AUROC</t>
    <phoneticPr fontId="1" type="noConversion"/>
  </si>
  <si>
    <t>MCC:</t>
    <phoneticPr fontId="1" type="noConversion"/>
  </si>
  <si>
    <t>ViT_Tiny</t>
    <phoneticPr fontId="1" type="noConversion"/>
  </si>
  <si>
    <t>Cropper</t>
    <phoneticPr fontId="1" type="noConversion"/>
  </si>
  <si>
    <t>LeafNext</t>
    <phoneticPr fontId="1" type="noConversion"/>
  </si>
  <si>
    <t>Reg_ViT</t>
    <phoneticPr fontId="1" type="noConversion"/>
  </si>
  <si>
    <t>Accuracy</t>
  </si>
  <si>
    <t>Recall(macro)</t>
  </si>
  <si>
    <t>F1-score(macro)</t>
  </si>
  <si>
    <t>AUROC(macro)</t>
  </si>
  <si>
    <t>MCC</t>
  </si>
  <si>
    <t>Guava-densenet169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</si>
</sst>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.8000000000000007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10" fontId="0" fillId="0" borderId="0" xfId="0" applyNumberFormat="1" applyFill="1"/>
    <xf numFmtId="10" fontId="2" fillId="0" borderId="0" xfId="0" applyNumberFormat="1" applyFont="1" applyFill="1"/>
    <xf numFmtId="0" fontId="2" fillId="0" borderId="0" xfId="0" applyFont="1" applyFill="1"/>
    <xf numFmtId="9" fontId="0" fillId="0" borderId="0" xfId="0" applyNumberFormat="1" applyFill="1"/>
    <xf numFmtId="10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107"/>
  <sheetViews>
    <sheetView tabSelected="1" topLeftCell="AD1" zoomScale="94" workbookViewId="0">
      <selection activeCell="AV25" sqref="AV25"/>
    </sheetView>
  </sheetViews>
  <sheetFormatPr defaultRowHeight="14" x14ac:dyDescent="0.3"/>
  <cols>
    <col min="1" max="16384" width="8.6640625" style="1"/>
  </cols>
  <sheetData>
    <row r="1" spans="1:121" x14ac:dyDescent="0.3">
      <c r="C1" s="1" t="s">
        <v>0</v>
      </c>
      <c r="U1" s="1" t="s">
        <v>1</v>
      </c>
      <c r="AL1" s="1" t="s">
        <v>2</v>
      </c>
      <c r="BB1" s="1" t="s">
        <v>3</v>
      </c>
      <c r="BR1" s="1" t="s">
        <v>4</v>
      </c>
      <c r="CK1" s="1" t="s">
        <v>5</v>
      </c>
      <c r="DC1" s="1" t="s">
        <v>6</v>
      </c>
    </row>
    <row r="2" spans="1:121" x14ac:dyDescent="0.3">
      <c r="A2" s="1" t="s">
        <v>7</v>
      </c>
      <c r="B2" s="1" t="s">
        <v>8</v>
      </c>
      <c r="C2" s="1">
        <v>0.9395</v>
      </c>
      <c r="D2" s="1">
        <v>0.96740000000000004</v>
      </c>
      <c r="E2" s="1">
        <v>0.95809999999999995</v>
      </c>
      <c r="F2" s="1">
        <v>0.95809999999999995</v>
      </c>
      <c r="G2" s="1">
        <v>0.97670000000000001</v>
      </c>
      <c r="H2" s="1">
        <v>0.97670000000000001</v>
      </c>
      <c r="I2" s="1">
        <v>0.95350000000000001</v>
      </c>
      <c r="J2" s="1">
        <v>0.94420000000000004</v>
      </c>
      <c r="K2" s="1">
        <v>0.96740000000000004</v>
      </c>
      <c r="L2" s="1">
        <v>0.97670000000000001</v>
      </c>
      <c r="O2" s="2">
        <f>AVERAGE(C2:L2)</f>
        <v>0.96182999999999996</v>
      </c>
      <c r="Q2" s="1">
        <f>_xlfn.STDEV.S(C2:L2)</f>
        <v>1.3466258244631699E-2</v>
      </c>
      <c r="T2" s="1" t="s">
        <v>8</v>
      </c>
      <c r="U2" s="1">
        <v>0.81666666666666665</v>
      </c>
      <c r="V2" s="1">
        <v>0.80555555555555558</v>
      </c>
      <c r="W2" s="1">
        <v>0.85</v>
      </c>
      <c r="X2" s="1">
        <v>0.82777777777777772</v>
      </c>
      <c r="Y2" s="1">
        <v>0.80555555555555558</v>
      </c>
      <c r="Z2" s="1">
        <v>0.85</v>
      </c>
      <c r="AA2" s="1">
        <v>0.82222222222222219</v>
      </c>
      <c r="AB2" s="1">
        <v>0.81666666666666665</v>
      </c>
      <c r="AC2" s="1">
        <v>0.82222222222222219</v>
      </c>
      <c r="AD2" s="1">
        <v>0.81111111111111112</v>
      </c>
      <c r="AG2" s="2">
        <f>AVERAGE(U2:AD2)</f>
        <v>0.82277777777777761</v>
      </c>
      <c r="AI2" s="1">
        <f>_xlfn.STDEV.S(U2:AD2)</f>
        <v>1.602681223956947E-2</v>
      </c>
      <c r="AK2" s="1" t="s">
        <v>8</v>
      </c>
      <c r="AL2" s="1">
        <v>0.80559999999999998</v>
      </c>
      <c r="AM2" s="1">
        <v>0.86809999999999998</v>
      </c>
      <c r="AN2" s="1">
        <v>0.81940000000000002</v>
      </c>
      <c r="AO2" s="1">
        <v>0.875</v>
      </c>
      <c r="AP2" s="1">
        <v>0.74309999999999998</v>
      </c>
      <c r="AQ2" s="1">
        <v>0.80559999999999998</v>
      </c>
      <c r="AR2" s="1">
        <v>0.74309999999999998</v>
      </c>
      <c r="AS2" s="1">
        <v>0.79169999999999996</v>
      </c>
      <c r="AT2" s="1">
        <v>0.85419999999999996</v>
      </c>
      <c r="AU2" s="1">
        <v>0.84719999999999995</v>
      </c>
      <c r="AW2" s="2"/>
      <c r="AX2" s="2">
        <f>AVERAGE(AL2:AU2)</f>
        <v>0.81529999999999991</v>
      </c>
      <c r="AZ2" s="1">
        <f>_xlfn.STDEV.S(AL2:AU2)</f>
        <v>4.7223322862990295E-2</v>
      </c>
      <c r="BB2" s="1">
        <v>0.91069999999999995</v>
      </c>
      <c r="BC2" s="1">
        <v>0.94640000000000002</v>
      </c>
      <c r="BD2" s="1">
        <v>0.97019999999999995</v>
      </c>
      <c r="BE2" s="1">
        <v>0.96430000000000005</v>
      </c>
      <c r="BF2" s="1">
        <v>0.94640000000000002</v>
      </c>
      <c r="BG2" s="1">
        <v>0.89290000000000003</v>
      </c>
      <c r="BH2" s="1">
        <v>0.97619999999999996</v>
      </c>
      <c r="BI2" s="1">
        <v>0.95830000000000004</v>
      </c>
      <c r="BJ2" s="1">
        <v>0.95830000000000004</v>
      </c>
      <c r="BK2" s="1">
        <v>0.95830000000000004</v>
      </c>
      <c r="BN2" s="2">
        <f>AVERAGE(BB2:BK2)</f>
        <v>0.94820000000000015</v>
      </c>
      <c r="BP2" s="1">
        <f>_xlfn.STDEV.S(BB2:BK2)</f>
        <v>2.6466036936253056E-2</v>
      </c>
      <c r="BR2" s="1">
        <v>0.90410000000000001</v>
      </c>
      <c r="BS2" s="1">
        <v>0.93149999999999999</v>
      </c>
      <c r="BT2" s="1">
        <v>0.97950000000000004</v>
      </c>
      <c r="BU2" s="1">
        <v>0.94520000000000004</v>
      </c>
      <c r="BV2" s="1">
        <v>0.94520000000000004</v>
      </c>
      <c r="BW2" s="1">
        <v>0.97260000000000002</v>
      </c>
      <c r="BX2" s="1">
        <v>0.97950000000000004</v>
      </c>
      <c r="BY2" s="1">
        <v>0.98629999999999995</v>
      </c>
      <c r="BZ2" s="1">
        <v>0.95209999999999995</v>
      </c>
      <c r="CA2" s="1">
        <v>0.88360000000000005</v>
      </c>
      <c r="CC2" s="2"/>
      <c r="CD2" s="2">
        <f>AVERAGE(BR2:CA2)</f>
        <v>0.94795999999999991</v>
      </c>
      <c r="CF2" s="1">
        <f>_xlfn.STDEV.S(BR2:CA2)</f>
        <v>3.4051992925851218E-2</v>
      </c>
      <c r="CK2" s="1">
        <v>0.875</v>
      </c>
      <c r="CL2" s="1">
        <v>0.96589999999999998</v>
      </c>
      <c r="CM2" s="1">
        <v>0.94320000000000004</v>
      </c>
      <c r="CN2" s="1">
        <v>0.96589999999999998</v>
      </c>
      <c r="CO2" s="1">
        <v>0.94320000000000004</v>
      </c>
      <c r="CP2" s="1">
        <v>0.95450000000000002</v>
      </c>
      <c r="CQ2" s="1">
        <v>0.95450000000000002</v>
      </c>
      <c r="CR2" s="1">
        <v>0.94320000000000004</v>
      </c>
      <c r="CS2" s="1">
        <v>0.95450000000000002</v>
      </c>
      <c r="CT2" s="1">
        <v>0.92049999999999998</v>
      </c>
      <c r="CW2" s="2">
        <f>AVERAGE(CK2:CT2)</f>
        <v>0.9420400000000001</v>
      </c>
      <c r="CY2" s="1">
        <f>_xlfn.STDEV.S(CK2:CT2)</f>
        <v>2.7011775210081995E-2</v>
      </c>
      <c r="DB2" s="1" t="s">
        <v>7</v>
      </c>
      <c r="DC2" s="1">
        <v>0.79249999999999998</v>
      </c>
      <c r="DD2" s="1">
        <v>0.80500000000000005</v>
      </c>
      <c r="DE2" s="1">
        <v>0.83250000000000002</v>
      </c>
      <c r="DF2" s="1">
        <v>0.84</v>
      </c>
      <c r="DG2" s="1">
        <v>0.83499999999999996</v>
      </c>
      <c r="DH2" s="1">
        <v>0.82499999999999996</v>
      </c>
      <c r="DI2" s="1">
        <v>0.8075</v>
      </c>
      <c r="DJ2" s="1">
        <v>0.81</v>
      </c>
      <c r="DK2" s="1">
        <v>0.82750000000000001</v>
      </c>
      <c r="DL2" s="1">
        <v>0.84250000000000003</v>
      </c>
      <c r="DO2" s="2">
        <f>AVERAGE(DC2:DL2)</f>
        <v>0.82175000000000009</v>
      </c>
      <c r="DQ2" s="1">
        <f>_xlfn.STDEV.S(DC2:DL2)</f>
        <v>1.6916871919937071E-2</v>
      </c>
    </row>
    <row r="3" spans="1:121" x14ac:dyDescent="0.3">
      <c r="B3" s="1" t="s">
        <v>9</v>
      </c>
      <c r="C3" s="1">
        <v>0.85189999999999999</v>
      </c>
      <c r="D3" s="1">
        <v>0.95830000000000004</v>
      </c>
      <c r="E3" s="1">
        <v>0.93979999999999997</v>
      </c>
      <c r="F3" s="1">
        <v>0.95369999999999999</v>
      </c>
      <c r="G3" s="1">
        <v>0.96760000000000002</v>
      </c>
      <c r="H3" s="1">
        <v>0.95369999999999999</v>
      </c>
      <c r="I3" s="1">
        <v>0.92589999999999995</v>
      </c>
      <c r="J3" s="1">
        <v>0.93520000000000003</v>
      </c>
      <c r="K3" s="1">
        <v>0.95830000000000004</v>
      </c>
      <c r="L3" s="1">
        <v>0.97219999999999995</v>
      </c>
      <c r="O3" s="2">
        <f t="shared" ref="O3:O5" si="0">AVERAGE(C3:L3)</f>
        <v>0.94165999999999994</v>
      </c>
      <c r="Q3" s="1">
        <f t="shared" ref="Q3:Q5" si="1">_xlfn.STDEV.S(C3:L3)</f>
        <v>3.464054143790353E-2</v>
      </c>
      <c r="T3" s="1" t="s">
        <v>9</v>
      </c>
      <c r="U3" s="1">
        <v>0.81666666666666665</v>
      </c>
      <c r="V3" s="1">
        <v>0.80555555555555558</v>
      </c>
      <c r="W3" s="1">
        <v>0.85</v>
      </c>
      <c r="X3" s="1">
        <v>0.82777777777777772</v>
      </c>
      <c r="Y3" s="1">
        <v>0.80555555555555558</v>
      </c>
      <c r="Z3" s="1">
        <v>0.85</v>
      </c>
      <c r="AA3" s="1">
        <v>0.8222222222222223</v>
      </c>
      <c r="AB3" s="1">
        <v>0.81666666666666676</v>
      </c>
      <c r="AC3" s="1">
        <v>0.82222222222222219</v>
      </c>
      <c r="AD3" s="1">
        <v>0.81111111111111112</v>
      </c>
      <c r="AG3" s="2">
        <f t="shared" ref="AG3:AG15" si="2">AVERAGE(U3:AD3)</f>
        <v>0.82277777777777761</v>
      </c>
      <c r="AI3" s="1">
        <f t="shared" ref="AI3:AI6" si="3">_xlfn.STDEV.S(U3:AD3)</f>
        <v>1.6026812239569466E-2</v>
      </c>
      <c r="AK3" s="1" t="s">
        <v>9</v>
      </c>
      <c r="AL3" s="1">
        <v>0.73609999999999998</v>
      </c>
      <c r="AM3" s="1">
        <v>0.84030000000000005</v>
      </c>
      <c r="AN3" s="1">
        <v>0.70140000000000002</v>
      </c>
      <c r="AO3" s="1">
        <v>0.80559999999999998</v>
      </c>
      <c r="AP3" s="1">
        <v>0.50690000000000002</v>
      </c>
      <c r="AQ3" s="1">
        <v>0.61809999999999998</v>
      </c>
      <c r="AR3" s="1">
        <v>0.4375</v>
      </c>
      <c r="AS3" s="1">
        <v>0.625</v>
      </c>
      <c r="AT3" s="1">
        <v>0.79859999999999998</v>
      </c>
      <c r="AU3" s="1">
        <v>0.77080000000000004</v>
      </c>
      <c r="AW3" s="2"/>
      <c r="AX3" s="2">
        <f t="shared" ref="AX3:AX5" si="4">AVERAGE(AL3:AU3)</f>
        <v>0.68403000000000003</v>
      </c>
      <c r="AZ3" s="1">
        <f t="shared" ref="AZ3:AZ5" si="5">_xlfn.STDEV.S(AL3:AU3)</f>
        <v>0.13451612088436754</v>
      </c>
      <c r="BB3" s="1">
        <v>0.91069999999999995</v>
      </c>
      <c r="BC3" s="1">
        <v>0.94640000000000002</v>
      </c>
      <c r="BD3" s="1">
        <v>0.97019999999999995</v>
      </c>
      <c r="BE3" s="1">
        <v>0.96430000000000005</v>
      </c>
      <c r="BF3" s="1">
        <v>0.94640000000000002</v>
      </c>
      <c r="BG3" s="1">
        <v>0.89290000000000003</v>
      </c>
      <c r="BH3" s="1">
        <v>0.97619999999999996</v>
      </c>
      <c r="BI3" s="1">
        <v>0.95830000000000004</v>
      </c>
      <c r="BJ3" s="1">
        <v>0.95830000000000004</v>
      </c>
      <c r="BK3" s="1">
        <v>0.95830000000000004</v>
      </c>
      <c r="BN3" s="2">
        <f t="shared" ref="BN3:BN5" si="6">AVERAGE(BB3:BK3)</f>
        <v>0.94820000000000015</v>
      </c>
      <c r="BP3" s="1">
        <f t="shared" ref="BP3:BP5" si="7">_xlfn.STDEV.S(BB3:BK3)</f>
        <v>2.6466036936253056E-2</v>
      </c>
      <c r="BR3" s="1">
        <v>0.90410000000000001</v>
      </c>
      <c r="BS3" s="1">
        <v>0.93149999999999999</v>
      </c>
      <c r="BT3" s="1">
        <v>0.97950000000000004</v>
      </c>
      <c r="BU3" s="1">
        <v>0.94520000000000004</v>
      </c>
      <c r="BV3" s="1">
        <v>0.94520000000000004</v>
      </c>
      <c r="BW3" s="1">
        <v>0.97260000000000002</v>
      </c>
      <c r="BX3" s="1">
        <v>0.97950000000000004</v>
      </c>
      <c r="BY3" s="1">
        <v>0.98629999999999995</v>
      </c>
      <c r="BZ3" s="1">
        <v>0.95209999999999995</v>
      </c>
      <c r="CA3" s="1">
        <v>0.88360000000000005</v>
      </c>
      <c r="CC3" s="2"/>
      <c r="CD3" s="2">
        <f t="shared" ref="CD3:CD5" si="8">AVERAGE(BR3:CA3)</f>
        <v>0.94795999999999991</v>
      </c>
      <c r="CF3" s="1">
        <f t="shared" ref="CF3:CF5" si="9">_xlfn.STDEV.S(BR3:CA3)</f>
        <v>3.4051992925851218E-2</v>
      </c>
      <c r="CK3" s="1">
        <v>0.875</v>
      </c>
      <c r="CL3" s="1">
        <v>0.96589999999999998</v>
      </c>
      <c r="CM3" s="1">
        <v>0.94320000000000004</v>
      </c>
      <c r="CN3" s="1">
        <v>0.96589999999999998</v>
      </c>
      <c r="CO3" s="1">
        <v>0.94320000000000004</v>
      </c>
      <c r="CP3" s="1">
        <v>0.95450000000000002</v>
      </c>
      <c r="CQ3" s="1">
        <v>0.95450000000000002</v>
      </c>
      <c r="CR3" s="1">
        <v>0.94320000000000004</v>
      </c>
      <c r="CS3" s="1">
        <v>0.95450000000000002</v>
      </c>
      <c r="CT3" s="1">
        <v>0.92049999999999998</v>
      </c>
      <c r="CW3" s="2">
        <f t="shared" ref="CW3:CW5" si="10">AVERAGE(CK3:CT3)</f>
        <v>0.9420400000000001</v>
      </c>
      <c r="CY3" s="1">
        <f t="shared" ref="CY3:CY5" si="11">_xlfn.STDEV.S(CK3:CT3)</f>
        <v>2.7011775210081995E-2</v>
      </c>
      <c r="DC3" s="1">
        <v>0.80020000000000002</v>
      </c>
      <c r="DD3" s="1">
        <v>0.81289999999999996</v>
      </c>
      <c r="DE3" s="1">
        <v>0.84060000000000001</v>
      </c>
      <c r="DF3" s="1">
        <v>0.8397</v>
      </c>
      <c r="DG3" s="1">
        <v>0.84350000000000003</v>
      </c>
      <c r="DH3" s="1">
        <v>0.82979999999999998</v>
      </c>
      <c r="DI3" s="1">
        <v>0.80679999999999996</v>
      </c>
      <c r="DJ3" s="1">
        <v>0.82050000000000001</v>
      </c>
      <c r="DK3" s="1">
        <v>0.82950000000000002</v>
      </c>
      <c r="DL3" s="1">
        <v>0.84440000000000004</v>
      </c>
      <c r="DO3" s="2">
        <f t="shared" ref="DO3:DO5" si="12">AVERAGE(DC3:DL3)</f>
        <v>0.82678999999999991</v>
      </c>
      <c r="DQ3" s="1">
        <f t="shared" ref="DQ3:DQ5" si="13">_xlfn.STDEV.S(DC3:DL3)</f>
        <v>1.5993918983302526E-2</v>
      </c>
    </row>
    <row r="4" spans="1:121" x14ac:dyDescent="0.3">
      <c r="B4" s="1" t="s">
        <v>10</v>
      </c>
      <c r="C4" s="1">
        <v>0.88119999999999998</v>
      </c>
      <c r="D4" s="1">
        <v>0.96299999999999997</v>
      </c>
      <c r="E4" s="1">
        <v>0.94750000000000001</v>
      </c>
      <c r="F4" s="1">
        <v>0.95830000000000004</v>
      </c>
      <c r="G4" s="1">
        <v>0.97070000000000001</v>
      </c>
      <c r="H4" s="1">
        <v>0.96140000000000003</v>
      </c>
      <c r="I4" s="1">
        <v>0.93979999999999997</v>
      </c>
      <c r="J4" s="1">
        <v>0.93830000000000002</v>
      </c>
      <c r="K4" s="1">
        <v>0.96299999999999997</v>
      </c>
      <c r="L4" s="1">
        <v>0.97529999999999994</v>
      </c>
      <c r="O4" s="2">
        <f t="shared" si="0"/>
        <v>0.94984999999999997</v>
      </c>
      <c r="Q4" s="1">
        <f t="shared" si="1"/>
        <v>2.7051032019746183E-2</v>
      </c>
      <c r="T4" s="1" t="s">
        <v>10</v>
      </c>
      <c r="U4" s="1">
        <v>0.81567058393683778</v>
      </c>
      <c r="V4" s="1">
        <v>0.80767134936252583</v>
      </c>
      <c r="W4" s="1">
        <v>0.85159651704643213</v>
      </c>
      <c r="X4" s="1">
        <v>0.83095336167511857</v>
      </c>
      <c r="Y4" s="1">
        <v>0.80324772513166121</v>
      </c>
      <c r="Z4" s="1">
        <v>0.85098268098268082</v>
      </c>
      <c r="AA4" s="1">
        <v>0.82152664086487626</v>
      </c>
      <c r="AB4" s="1">
        <v>0.81538531870669606</v>
      </c>
      <c r="AC4" s="1">
        <v>0.81887070417087904</v>
      </c>
      <c r="AD4" s="1">
        <v>0.81150404797463627</v>
      </c>
      <c r="AG4" s="2">
        <f t="shared" si="2"/>
        <v>0.82274089298523445</v>
      </c>
      <c r="AI4" s="1">
        <f t="shared" si="3"/>
        <v>1.6837716286395056E-2</v>
      </c>
      <c r="AK4" s="1" t="s">
        <v>10</v>
      </c>
      <c r="AL4" s="1">
        <v>0.75929999999999997</v>
      </c>
      <c r="AM4" s="1">
        <v>0.86570000000000003</v>
      </c>
      <c r="AN4" s="1">
        <v>0.72450000000000003</v>
      </c>
      <c r="AO4" s="1">
        <v>0.82869999999999999</v>
      </c>
      <c r="AP4" s="1">
        <v>0.55089999999999995</v>
      </c>
      <c r="AQ4" s="1">
        <v>0.65739999999999998</v>
      </c>
      <c r="AR4" s="1">
        <v>0.48380000000000001</v>
      </c>
      <c r="AS4" s="1">
        <v>0.66669999999999996</v>
      </c>
      <c r="AT4" s="1">
        <v>0.81710000000000005</v>
      </c>
      <c r="AU4" s="1">
        <v>0.78939999999999999</v>
      </c>
      <c r="AW4" s="2"/>
      <c r="AX4" s="2">
        <f t="shared" si="4"/>
        <v>0.71434999999999993</v>
      </c>
      <c r="AZ4" s="1">
        <f t="shared" si="5"/>
        <v>0.12457900884356303</v>
      </c>
      <c r="BB4" s="1">
        <v>0.91069999999999995</v>
      </c>
      <c r="BC4" s="1">
        <v>0.94640000000000002</v>
      </c>
      <c r="BD4" s="1">
        <v>0.97019999999999995</v>
      </c>
      <c r="BE4" s="1">
        <v>0.96430000000000005</v>
      </c>
      <c r="BF4" s="1">
        <v>0.94640000000000002</v>
      </c>
      <c r="BG4" s="1">
        <v>0.89290000000000003</v>
      </c>
      <c r="BH4" s="1">
        <v>0.97619999999999996</v>
      </c>
      <c r="BI4" s="1">
        <v>0.95830000000000004</v>
      </c>
      <c r="BJ4" s="1">
        <v>0.95830000000000004</v>
      </c>
      <c r="BK4" s="1">
        <v>0.95830000000000004</v>
      </c>
      <c r="BN4" s="2">
        <f t="shared" si="6"/>
        <v>0.94820000000000015</v>
      </c>
      <c r="BP4" s="1">
        <f t="shared" si="7"/>
        <v>2.6466036936253056E-2</v>
      </c>
      <c r="BR4" s="1">
        <v>0.90410000000000001</v>
      </c>
      <c r="BS4" s="1">
        <v>0.93149999999999999</v>
      </c>
      <c r="BT4" s="1">
        <v>0.97950000000000004</v>
      </c>
      <c r="BU4" s="1">
        <v>0.94520000000000004</v>
      </c>
      <c r="BV4" s="1">
        <v>0.94520000000000004</v>
      </c>
      <c r="BW4" s="1">
        <v>0.97260000000000002</v>
      </c>
      <c r="BX4" s="1">
        <v>0.97950000000000004</v>
      </c>
      <c r="BY4" s="1">
        <v>0.98629999999999995</v>
      </c>
      <c r="BZ4" s="1">
        <v>0.95209999999999995</v>
      </c>
      <c r="CA4" s="1">
        <v>0.88360000000000005</v>
      </c>
      <c r="CC4" s="2"/>
      <c r="CD4" s="2">
        <f t="shared" si="8"/>
        <v>0.94795999999999991</v>
      </c>
      <c r="CF4" s="1">
        <f t="shared" si="9"/>
        <v>3.4051992925851218E-2</v>
      </c>
      <c r="CK4" s="1">
        <v>0.875</v>
      </c>
      <c r="CL4" s="1">
        <v>0.96589999999999998</v>
      </c>
      <c r="CM4" s="1">
        <v>0.94320000000000004</v>
      </c>
      <c r="CN4" s="1">
        <v>0.96589999999999998</v>
      </c>
      <c r="CO4" s="1">
        <v>0.94320000000000004</v>
      </c>
      <c r="CP4" s="1">
        <v>0.95450000000000002</v>
      </c>
      <c r="CQ4" s="1">
        <v>0.95450000000000002</v>
      </c>
      <c r="CR4" s="1">
        <v>0.94320000000000004</v>
      </c>
      <c r="CS4" s="1">
        <v>0.95450000000000002</v>
      </c>
      <c r="CT4" s="1">
        <v>0.92049999999999998</v>
      </c>
      <c r="CW4" s="2">
        <f t="shared" si="10"/>
        <v>0.9420400000000001</v>
      </c>
      <c r="CY4" s="1">
        <f t="shared" si="11"/>
        <v>2.7011775210081995E-2</v>
      </c>
      <c r="DC4" s="1">
        <v>0.80020000000000002</v>
      </c>
      <c r="DD4" s="1">
        <v>0.81289999999999996</v>
      </c>
      <c r="DE4" s="1">
        <v>0.84060000000000001</v>
      </c>
      <c r="DF4" s="1">
        <v>0.8397</v>
      </c>
      <c r="DG4" s="1">
        <v>0.84350000000000003</v>
      </c>
      <c r="DH4" s="1">
        <v>0.82979999999999998</v>
      </c>
      <c r="DI4" s="1">
        <v>0.80679999999999996</v>
      </c>
      <c r="DJ4" s="1">
        <v>0.82050000000000001</v>
      </c>
      <c r="DK4" s="1">
        <v>0.82950000000000002</v>
      </c>
      <c r="DL4" s="1">
        <v>0.84440000000000004</v>
      </c>
      <c r="DO4" s="2">
        <f t="shared" si="12"/>
        <v>0.82678999999999991</v>
      </c>
      <c r="DQ4" s="1">
        <f t="shared" si="13"/>
        <v>1.5993918983302526E-2</v>
      </c>
    </row>
    <row r="5" spans="1:121" x14ac:dyDescent="0.3">
      <c r="B5" s="1" t="s">
        <v>11</v>
      </c>
      <c r="C5" s="1">
        <v>0.98939999999999995</v>
      </c>
      <c r="D5" s="1">
        <v>0.99639999999999995</v>
      </c>
      <c r="E5" s="1">
        <v>0.99160000000000004</v>
      </c>
      <c r="F5" s="1">
        <v>0.99339999999999995</v>
      </c>
      <c r="G5" s="1">
        <v>0.99839999999999995</v>
      </c>
      <c r="H5" s="1">
        <v>0.99150000000000005</v>
      </c>
      <c r="I5" s="1">
        <v>0.99319999999999997</v>
      </c>
      <c r="J5" s="1">
        <v>0.99639999999999995</v>
      </c>
      <c r="K5" s="1">
        <v>0.99809999999999999</v>
      </c>
      <c r="L5" s="1">
        <v>0.99890000000000001</v>
      </c>
      <c r="O5" s="2">
        <f t="shared" si="0"/>
        <v>0.99473</v>
      </c>
      <c r="Q5" s="1">
        <f t="shared" si="1"/>
        <v>3.3423378378347962E-3</v>
      </c>
      <c r="T5" s="1" t="s">
        <v>11</v>
      </c>
      <c r="U5" s="1">
        <v>0.89814814814814814</v>
      </c>
      <c r="V5" s="1">
        <v>0.89197530864197527</v>
      </c>
      <c r="W5" s="1">
        <v>0.91666666666666663</v>
      </c>
      <c r="X5" s="1">
        <v>0.9043209876543209</v>
      </c>
      <c r="Y5" s="1">
        <v>0.89197530864197527</v>
      </c>
      <c r="Z5" s="1">
        <v>0.91666666666666663</v>
      </c>
      <c r="AA5" s="1">
        <v>0.90123456790123446</v>
      </c>
      <c r="AB5" s="1">
        <v>0.89814814814814814</v>
      </c>
      <c r="AC5" s="1">
        <v>0.90123456790123446</v>
      </c>
      <c r="AD5" s="1">
        <v>0.89506172839506171</v>
      </c>
      <c r="AG5" s="2">
        <f t="shared" si="2"/>
        <v>0.90154320987654324</v>
      </c>
      <c r="AI5" s="1">
        <f t="shared" si="3"/>
        <v>8.9037845775385982E-3</v>
      </c>
      <c r="AK5" s="1" t="s">
        <v>11</v>
      </c>
      <c r="AL5" s="1">
        <v>0.95199999999999996</v>
      </c>
      <c r="AM5" s="1">
        <v>0.97509999999999997</v>
      </c>
      <c r="AN5" s="1">
        <v>0.97289999999999999</v>
      </c>
      <c r="AO5" s="1">
        <v>0.97860000000000003</v>
      </c>
      <c r="AP5" s="1">
        <v>0.93630000000000002</v>
      </c>
      <c r="AQ5" s="1">
        <v>0.95009999999999994</v>
      </c>
      <c r="AR5" s="1">
        <v>0.91790000000000005</v>
      </c>
      <c r="AS5" s="1">
        <v>0.94299999999999995</v>
      </c>
      <c r="AT5" s="1">
        <v>0.97740000000000005</v>
      </c>
      <c r="AU5" s="1">
        <v>0.97199999999999998</v>
      </c>
      <c r="AW5" s="2"/>
      <c r="AX5" s="2">
        <f t="shared" si="4"/>
        <v>0.95752999999999988</v>
      </c>
      <c r="AZ5" s="1">
        <f t="shared" si="5"/>
        <v>2.0846638418059952E-2</v>
      </c>
      <c r="BB5" s="1">
        <v>0.91069999999999995</v>
      </c>
      <c r="BC5" s="1">
        <v>0.94640000000000002</v>
      </c>
      <c r="BD5" s="1">
        <v>0.97019999999999995</v>
      </c>
      <c r="BE5" s="1">
        <v>0.96430000000000005</v>
      </c>
      <c r="BF5" s="1">
        <v>0.94640000000000002</v>
      </c>
      <c r="BG5" s="1">
        <v>0.89290000000000003</v>
      </c>
      <c r="BH5" s="1">
        <v>0.97619999999999996</v>
      </c>
      <c r="BI5" s="1">
        <v>0.95830000000000004</v>
      </c>
      <c r="BJ5" s="1">
        <v>0.95830000000000004</v>
      </c>
      <c r="BK5" s="1">
        <v>0.95830000000000004</v>
      </c>
      <c r="BN5" s="2">
        <f t="shared" si="6"/>
        <v>0.94820000000000015</v>
      </c>
      <c r="BP5" s="1">
        <f t="shared" si="7"/>
        <v>2.6466036936253056E-2</v>
      </c>
      <c r="BR5" s="1">
        <v>0.90410000000000001</v>
      </c>
      <c r="BS5" s="1">
        <v>0.93149999999999999</v>
      </c>
      <c r="BT5" s="1">
        <v>0.97950000000000004</v>
      </c>
      <c r="BU5" s="1">
        <v>0.94520000000000004</v>
      </c>
      <c r="BV5" s="1">
        <v>0.94520000000000004</v>
      </c>
      <c r="BW5" s="1">
        <v>0.97260000000000002</v>
      </c>
      <c r="BX5" s="1">
        <v>0.97950000000000004</v>
      </c>
      <c r="BY5" s="1">
        <v>0.98629999999999995</v>
      </c>
      <c r="BZ5" s="1">
        <v>0.95209999999999995</v>
      </c>
      <c r="CA5" s="1">
        <v>0.88360000000000005</v>
      </c>
      <c r="CC5" s="2"/>
      <c r="CD5" s="2">
        <f t="shared" si="8"/>
        <v>0.94795999999999991</v>
      </c>
      <c r="CF5" s="1">
        <f t="shared" si="9"/>
        <v>3.4051992925851218E-2</v>
      </c>
      <c r="CK5" s="1">
        <v>0.875</v>
      </c>
      <c r="CL5" s="1">
        <v>0.96589999999999998</v>
      </c>
      <c r="CM5" s="1">
        <v>0.94320000000000004</v>
      </c>
      <c r="CN5" s="1">
        <v>0.96589999999999998</v>
      </c>
      <c r="CO5" s="1">
        <v>0.94320000000000004</v>
      </c>
      <c r="CP5" s="1">
        <v>0.95450000000000002</v>
      </c>
      <c r="CQ5" s="1">
        <v>0.95450000000000002</v>
      </c>
      <c r="CR5" s="1">
        <v>0.94320000000000004</v>
      </c>
      <c r="CS5" s="1">
        <v>0.95450000000000002</v>
      </c>
      <c r="CT5" s="1">
        <v>0.92049999999999998</v>
      </c>
      <c r="CW5" s="2">
        <f t="shared" si="10"/>
        <v>0.9420400000000001</v>
      </c>
      <c r="CY5" s="1">
        <f t="shared" si="11"/>
        <v>2.7011775210081995E-2</v>
      </c>
      <c r="DC5" s="1">
        <v>0.95250000000000001</v>
      </c>
      <c r="DD5" s="1">
        <v>0.94720000000000004</v>
      </c>
      <c r="DE5" s="1">
        <v>0.96240000000000003</v>
      </c>
      <c r="DF5" s="1">
        <v>0.96250000000000002</v>
      </c>
      <c r="DG5" s="1">
        <v>0.96489999999999998</v>
      </c>
      <c r="DH5" s="1">
        <v>0.96160000000000001</v>
      </c>
      <c r="DI5" s="1">
        <v>0.95650000000000002</v>
      </c>
      <c r="DJ5" s="1">
        <v>0.9607</v>
      </c>
      <c r="DK5" s="1">
        <v>0.96240000000000003</v>
      </c>
      <c r="DL5" s="1">
        <v>0.9667</v>
      </c>
      <c r="DO5" s="2">
        <f t="shared" si="12"/>
        <v>0.95974000000000004</v>
      </c>
      <c r="DQ5" s="1">
        <f t="shared" si="13"/>
        <v>5.9757286863890684E-3</v>
      </c>
    </row>
    <row r="6" spans="1:121" x14ac:dyDescent="0.3">
      <c r="B6" s="1" t="s">
        <v>12</v>
      </c>
      <c r="C6" s="1">
        <v>0.92500000000000004</v>
      </c>
      <c r="D6" s="1">
        <v>0.95950000000000002</v>
      </c>
      <c r="E6" s="1">
        <v>0.94820000000000004</v>
      </c>
      <c r="F6" s="1">
        <v>0.94799999999999995</v>
      </c>
      <c r="G6" s="1">
        <v>0.97099999999999997</v>
      </c>
      <c r="H6" s="1">
        <v>0.97099999999999997</v>
      </c>
      <c r="I6" s="1">
        <v>0.94240000000000002</v>
      </c>
      <c r="J6" s="1">
        <v>0.93120000000000003</v>
      </c>
      <c r="K6" s="1">
        <v>0.95940000000000003</v>
      </c>
      <c r="L6" s="1">
        <v>0.97089999999999999</v>
      </c>
      <c r="O6" s="2">
        <f>AVERAGE(C6:L6)</f>
        <v>0.95266000000000006</v>
      </c>
      <c r="Q6" s="1">
        <f>_xlfn.STDEV.S(C6:L6)</f>
        <v>1.6566713614956933E-2</v>
      </c>
      <c r="T6" s="1" t="s">
        <v>12</v>
      </c>
      <c r="U6" s="1">
        <v>0.7968156527056155</v>
      </c>
      <c r="V6" s="1">
        <v>0.78465054929554146</v>
      </c>
      <c r="W6" s="1">
        <v>0.83456491048049963</v>
      </c>
      <c r="X6" s="1">
        <v>0.80997636891482616</v>
      </c>
      <c r="Y6" s="1">
        <v>0.78546049743393365</v>
      </c>
      <c r="Z6" s="1">
        <v>0.83367648069534739</v>
      </c>
      <c r="AA6" s="1">
        <v>0.80326839432278718</v>
      </c>
      <c r="AB6" s="1">
        <v>0.79747313668136621</v>
      </c>
      <c r="AC6" s="1">
        <v>0.80418080687103566</v>
      </c>
      <c r="AD6" s="1">
        <v>0.79085607025932492</v>
      </c>
      <c r="AG6" s="2">
        <f t="shared" si="2"/>
        <v>0.80409228676602762</v>
      </c>
      <c r="AI6" s="1">
        <f t="shared" si="3"/>
        <v>1.7751992351044243E-2</v>
      </c>
      <c r="AK6" s="1" t="s">
        <v>12</v>
      </c>
      <c r="AL6" s="1">
        <v>0.77470000000000006</v>
      </c>
      <c r="AM6" s="1">
        <v>0.84230000000000005</v>
      </c>
      <c r="AN6" s="1">
        <v>0.78759999999999997</v>
      </c>
      <c r="AO6" s="1">
        <v>0.85170000000000001</v>
      </c>
      <c r="AP6" s="1">
        <v>0.69540000000000002</v>
      </c>
      <c r="AQ6" s="1">
        <v>0.77310000000000001</v>
      </c>
      <c r="AR6" s="1">
        <v>0.70189999999999997</v>
      </c>
      <c r="AS6" s="1">
        <v>0.75519999999999998</v>
      </c>
      <c r="AT6" s="1">
        <v>0.82669999999999999</v>
      </c>
      <c r="AU6" s="1">
        <v>0.81979999999999997</v>
      </c>
      <c r="AW6" s="2"/>
      <c r="AX6" s="2">
        <f>AVERAGE(AL6:AU6)</f>
        <v>0.78283999999999998</v>
      </c>
      <c r="AZ6" s="1">
        <f>_xlfn.STDEV.S(AL6:AU6)</f>
        <v>5.4479072434590277E-2</v>
      </c>
      <c r="BB6" s="1">
        <v>0.83140000000000003</v>
      </c>
      <c r="BC6" s="1">
        <v>0.89339999999999997</v>
      </c>
      <c r="BD6" s="1">
        <v>0.94110000000000005</v>
      </c>
      <c r="BE6" s="1">
        <v>0.92879999999999996</v>
      </c>
      <c r="BF6" s="1">
        <v>0.89439999999999997</v>
      </c>
      <c r="BG6" s="1">
        <v>0.8044</v>
      </c>
      <c r="BH6" s="1">
        <v>0.95350000000000001</v>
      </c>
      <c r="BI6" s="1">
        <v>0.91669999999999996</v>
      </c>
      <c r="BJ6" s="1">
        <v>0.91830000000000001</v>
      </c>
      <c r="BK6" s="1">
        <v>0.91669999999999996</v>
      </c>
      <c r="BN6" s="2">
        <f>AVERAGE(BB6:BK6)</f>
        <v>0.89986999999999995</v>
      </c>
      <c r="BP6" s="1">
        <f>_xlfn.STDEV.S(BB6:BK6)</f>
        <v>4.7368110463569146E-2</v>
      </c>
      <c r="BR6" s="1">
        <v>0.81310000000000004</v>
      </c>
      <c r="BS6" s="1">
        <v>0.86129999999999995</v>
      </c>
      <c r="BT6" s="1">
        <v>0.95830000000000004</v>
      </c>
      <c r="BU6" s="1">
        <v>0.89070000000000005</v>
      </c>
      <c r="BV6" s="1">
        <v>0.88870000000000005</v>
      </c>
      <c r="BW6" s="1">
        <v>0.94440000000000002</v>
      </c>
      <c r="BX6" s="1">
        <v>0.95830000000000004</v>
      </c>
      <c r="BY6" s="1">
        <v>0.97219999999999995</v>
      </c>
      <c r="BZ6" s="1">
        <v>0.90290000000000004</v>
      </c>
      <c r="CA6" s="1">
        <v>0.76300000000000001</v>
      </c>
      <c r="CC6" s="2"/>
      <c r="CD6" s="2">
        <f>AVERAGE(BR6:CA6)</f>
        <v>0.89528999999999992</v>
      </c>
      <c r="CF6" s="1">
        <f>_xlfn.STDEV.S(BR6:CA6)</f>
        <v>6.8150999829626691E-2</v>
      </c>
      <c r="CK6" s="1">
        <v>0.7</v>
      </c>
      <c r="CL6" s="1">
        <v>0.9194</v>
      </c>
      <c r="CM6" s="1">
        <v>0.86450000000000005</v>
      </c>
      <c r="CN6" s="1">
        <v>0.91749999999999998</v>
      </c>
      <c r="CO6" s="1">
        <v>0.86229999999999996</v>
      </c>
      <c r="CP6" s="1">
        <v>0.89159999999999995</v>
      </c>
      <c r="CQ6" s="1">
        <v>0.89449999999999996</v>
      </c>
      <c r="CR6" s="1">
        <v>0.87070000000000003</v>
      </c>
      <c r="CS6" s="1">
        <v>0.89449999999999996</v>
      </c>
      <c r="CT6" s="1">
        <v>0.80710000000000004</v>
      </c>
      <c r="CW6" s="2">
        <f>AVERAGE(CK6:CT6)</f>
        <v>0.86220999999999992</v>
      </c>
      <c r="CY6" s="1">
        <f>_xlfn.STDEV.S(CK6:CT6)</f>
        <v>6.5577154728016548E-2</v>
      </c>
      <c r="DC6" s="1">
        <v>0.74539999999999995</v>
      </c>
      <c r="DD6" s="1">
        <v>0.76190000000000002</v>
      </c>
      <c r="DE6" s="1">
        <v>0.79449999999999998</v>
      </c>
      <c r="DF6" s="1">
        <v>0.80089999999999995</v>
      </c>
      <c r="DG6" s="1">
        <v>0.79720000000000002</v>
      </c>
      <c r="DH6" s="1">
        <v>0.78249999999999997</v>
      </c>
      <c r="DI6" s="1">
        <v>0.75960000000000005</v>
      </c>
      <c r="DJ6" s="1">
        <v>0.76880000000000004</v>
      </c>
      <c r="DK6" s="1">
        <v>0.7853</v>
      </c>
      <c r="DL6" s="1">
        <v>0.80469999999999997</v>
      </c>
      <c r="DO6" s="2">
        <f>AVERAGE(DC6:DL6)</f>
        <v>0.78008000000000011</v>
      </c>
      <c r="DQ6" s="1">
        <f>_xlfn.STDEV.S(DC6:DL6)</f>
        <v>2.0148438042576777E-2</v>
      </c>
    </row>
    <row r="7" spans="1:121" x14ac:dyDescent="0.3">
      <c r="AG7" s="2"/>
    </row>
    <row r="8" spans="1:121" x14ac:dyDescent="0.3">
      <c r="AG8" s="2"/>
    </row>
    <row r="9" spans="1:121" x14ac:dyDescent="0.3">
      <c r="AG9" s="2"/>
    </row>
    <row r="10" spans="1:121" x14ac:dyDescent="0.3">
      <c r="C10" s="2"/>
      <c r="D10" s="2"/>
      <c r="E10" s="2"/>
      <c r="F10" s="2"/>
      <c r="G10" s="2"/>
      <c r="H10" s="2"/>
      <c r="I10" s="2"/>
      <c r="J10" s="2"/>
      <c r="K10" s="2"/>
      <c r="L10" s="2"/>
      <c r="O10" s="2"/>
      <c r="U10" s="2"/>
      <c r="V10" s="2"/>
      <c r="W10" s="2"/>
      <c r="X10" s="2"/>
      <c r="Y10" s="2"/>
      <c r="Z10" s="2"/>
      <c r="AA10" s="2"/>
      <c r="AB10" s="2"/>
      <c r="AD10" s="2"/>
      <c r="AE10" s="2"/>
      <c r="AG10" s="2"/>
    </row>
    <row r="11" spans="1:121" x14ac:dyDescent="0.3">
      <c r="A11" s="1" t="s">
        <v>13</v>
      </c>
      <c r="B11" s="1" t="s">
        <v>8</v>
      </c>
      <c r="C11" s="2">
        <v>0.97209999999999996</v>
      </c>
      <c r="D11" s="2">
        <v>0.96279999999999999</v>
      </c>
      <c r="E11" s="2">
        <v>0.96279999999999999</v>
      </c>
      <c r="F11" s="2">
        <v>0.96279999999999999</v>
      </c>
      <c r="G11" s="2">
        <v>0.95809999999999995</v>
      </c>
      <c r="H11" s="2">
        <v>0.9395</v>
      </c>
      <c r="I11" s="2">
        <v>0.96740000000000004</v>
      </c>
      <c r="J11" s="2">
        <v>0.93020000000000003</v>
      </c>
      <c r="K11" s="2">
        <v>0.95809999999999995</v>
      </c>
      <c r="L11" s="2">
        <v>0.94879999999999998</v>
      </c>
      <c r="O11" s="2">
        <f>AVERAGE(C11:L11)</f>
        <v>0.95626000000000011</v>
      </c>
      <c r="Q11" s="1">
        <f>_xlfn.STDEV.S(C11:L11)</f>
        <v>1.3020343057436433E-2</v>
      </c>
      <c r="T11" s="1" t="s">
        <v>8</v>
      </c>
      <c r="U11" s="2">
        <v>0.81110000000000004</v>
      </c>
      <c r="V11" s="2">
        <v>0.80559999999999998</v>
      </c>
      <c r="W11" s="2">
        <v>0.76670000000000005</v>
      </c>
      <c r="X11" s="2">
        <v>0.7611</v>
      </c>
      <c r="Y11" s="2">
        <v>0.77780000000000005</v>
      </c>
      <c r="Z11" s="2">
        <v>0.7611</v>
      </c>
      <c r="AA11" s="2">
        <v>0.7944</v>
      </c>
      <c r="AB11" s="2">
        <v>0.76670000000000005</v>
      </c>
      <c r="AC11" s="2">
        <v>0.82779999999999998</v>
      </c>
      <c r="AD11" s="2">
        <v>0.74439999999999995</v>
      </c>
      <c r="AE11" s="2"/>
      <c r="AG11" s="2">
        <f>AVERAGE(U11:AD11)</f>
        <v>0.78166999999999998</v>
      </c>
      <c r="AI11" s="1">
        <f>_xlfn.STDEV.S(U11:AD11)</f>
        <v>2.6723441644618557E-2</v>
      </c>
      <c r="AK11" s="1" t="s">
        <v>8</v>
      </c>
      <c r="AL11" s="2">
        <v>0.81940000000000002</v>
      </c>
      <c r="AM11" s="2">
        <v>0.86809999999999998</v>
      </c>
      <c r="AN11" s="2">
        <v>0.83330000000000004</v>
      </c>
      <c r="AO11" s="2">
        <v>0.81940000000000002</v>
      </c>
      <c r="AP11" s="2">
        <v>0.8125</v>
      </c>
      <c r="AQ11" s="2">
        <v>0.84030000000000005</v>
      </c>
      <c r="AR11" s="2">
        <v>0.84030000000000005</v>
      </c>
      <c r="AS11" s="2">
        <v>0.875</v>
      </c>
      <c r="AT11" s="2">
        <v>0.85419999999999996</v>
      </c>
      <c r="AU11" s="2">
        <v>0.88890000000000002</v>
      </c>
      <c r="AX11" s="2">
        <f>AVERAGE(AL11:AU11)</f>
        <v>0.84514</v>
      </c>
      <c r="AZ11" s="1">
        <f>_xlfn.STDEV.S(AL11:AU11)</f>
        <v>2.5805477454731704E-2</v>
      </c>
      <c r="BB11" s="2">
        <v>0.91069999999999995</v>
      </c>
      <c r="BC11" s="2">
        <v>0.91669999999999996</v>
      </c>
      <c r="BD11" s="2">
        <v>0.86899999999999999</v>
      </c>
      <c r="BE11" s="2">
        <v>0.92859999999999998</v>
      </c>
      <c r="BF11" s="3">
        <v>0.90480000000000005</v>
      </c>
      <c r="BG11" s="2">
        <v>0.83930000000000005</v>
      </c>
      <c r="BH11" s="2">
        <v>0.90480000000000005</v>
      </c>
      <c r="BI11" s="2">
        <v>0.92859999999999998</v>
      </c>
      <c r="BJ11" s="2">
        <v>0.94640000000000002</v>
      </c>
      <c r="BK11" s="2">
        <v>0.90480000000000005</v>
      </c>
      <c r="BN11" s="2">
        <f>AVERAGE(BB11:BK11)</f>
        <v>0.9053699999999999</v>
      </c>
      <c r="BP11" s="1">
        <f>_xlfn.STDEV.S(BB11:BK11)</f>
        <v>3.092733598470955E-2</v>
      </c>
      <c r="BR11" s="2">
        <v>0.95209999999999995</v>
      </c>
      <c r="BS11" s="2">
        <v>0.95209999999999995</v>
      </c>
      <c r="BT11" s="2">
        <v>0.96579999999999999</v>
      </c>
      <c r="BU11" s="2">
        <v>0.92469999999999997</v>
      </c>
      <c r="BV11" s="2">
        <v>0.94520000000000004</v>
      </c>
      <c r="BW11" s="2">
        <v>0.98629999999999995</v>
      </c>
      <c r="BX11" s="2">
        <v>0.95889999999999997</v>
      </c>
      <c r="BY11" s="2">
        <v>0.95889999999999997</v>
      </c>
      <c r="BZ11" s="2">
        <v>0.95889999999999997</v>
      </c>
      <c r="CA11" s="2">
        <v>0.96579999999999999</v>
      </c>
      <c r="CD11" s="2">
        <f>AVERAGE(BR11:CA11)</f>
        <v>0.95687</v>
      </c>
      <c r="CF11" s="1">
        <f>_xlfn.STDEV.S(BR11:CA11)</f>
        <v>1.5827476109601297E-2</v>
      </c>
      <c r="CK11" s="2">
        <v>0.90910000000000002</v>
      </c>
      <c r="CL11" s="2">
        <v>0.97950000000000004</v>
      </c>
      <c r="CM11" s="2">
        <v>0.85229999999999995</v>
      </c>
      <c r="CN11" s="2">
        <v>0.93179999999999996</v>
      </c>
      <c r="CO11" s="2">
        <v>0.89770000000000005</v>
      </c>
      <c r="CP11" s="2">
        <v>0.88639999999999997</v>
      </c>
      <c r="CQ11" s="2">
        <v>0.85229999999999995</v>
      </c>
      <c r="CR11" s="2">
        <v>0.90910000000000002</v>
      </c>
      <c r="CS11" s="2">
        <v>0.96589999999999998</v>
      </c>
      <c r="CT11" s="2">
        <v>0.93179999999999996</v>
      </c>
      <c r="CW11" s="2">
        <f>AVERAGE(CK11:CT11)</f>
        <v>0.91159000000000001</v>
      </c>
      <c r="CY11" s="1">
        <f>_xlfn.STDEV.S(CK11:CT11)</f>
        <v>4.2490141340211056E-2</v>
      </c>
      <c r="DB11" s="1" t="s">
        <v>13</v>
      </c>
      <c r="DC11" s="1">
        <v>0.82499999999999996</v>
      </c>
      <c r="DD11" s="1">
        <v>0.8075</v>
      </c>
      <c r="DE11" s="1">
        <v>0.71750000000000003</v>
      </c>
      <c r="DF11" s="1">
        <v>0.8125</v>
      </c>
      <c r="DG11" s="1">
        <v>0.82250000000000001</v>
      </c>
      <c r="DH11" s="1">
        <v>0.755</v>
      </c>
      <c r="DI11" s="1">
        <v>0.78749999999999998</v>
      </c>
      <c r="DJ11" s="1">
        <v>0.83250000000000002</v>
      </c>
      <c r="DK11" s="1">
        <v>0.6875</v>
      </c>
      <c r="DL11" s="1">
        <v>0.6875</v>
      </c>
      <c r="DO11" s="2">
        <f>AVERAGE(DC11:DL11)</f>
        <v>0.77349999999999997</v>
      </c>
      <c r="DQ11" s="1">
        <f>_xlfn.STDEV.S(DC11:DL11)</f>
        <v>5.7423862635667407E-2</v>
      </c>
    </row>
    <row r="12" spans="1:121" x14ac:dyDescent="0.3">
      <c r="B12" s="1" t="s">
        <v>9</v>
      </c>
      <c r="C12" s="1">
        <v>0.97209999999999996</v>
      </c>
      <c r="D12" s="1">
        <v>0.96279999999999999</v>
      </c>
      <c r="E12" s="1">
        <v>0.96279999999999999</v>
      </c>
      <c r="F12" s="1">
        <v>0.96279999999999999</v>
      </c>
      <c r="G12" s="1">
        <v>0.95809999999999995</v>
      </c>
      <c r="H12" s="1">
        <v>0.9395</v>
      </c>
      <c r="I12" s="1">
        <v>0.96740000000000004</v>
      </c>
      <c r="J12" s="1">
        <v>0.93020000000000003</v>
      </c>
      <c r="K12" s="1">
        <v>0.95809999999999995</v>
      </c>
      <c r="L12" s="1">
        <v>0.94879999999999998</v>
      </c>
      <c r="O12" s="2">
        <f>AVERAGE(C12:L12)</f>
        <v>0.95626000000000011</v>
      </c>
      <c r="Q12" s="1">
        <f>_xlfn.STDEV.S(C12:L12)</f>
        <v>1.3020343057436433E-2</v>
      </c>
      <c r="T12" s="1" t="s">
        <v>9</v>
      </c>
      <c r="U12" s="1">
        <v>0.81110000000000004</v>
      </c>
      <c r="V12" s="1">
        <v>0.80559999999999998</v>
      </c>
      <c r="W12" s="1">
        <v>0.76670000000000005</v>
      </c>
      <c r="X12" s="1">
        <v>0.7611</v>
      </c>
      <c r="Y12" s="1">
        <v>0.77780000000000005</v>
      </c>
      <c r="Z12" s="1">
        <v>0.7611</v>
      </c>
      <c r="AA12" s="1">
        <v>0.7944</v>
      </c>
      <c r="AB12" s="1">
        <v>0.76670000000000005</v>
      </c>
      <c r="AC12" s="1">
        <v>0.82779999999999998</v>
      </c>
      <c r="AD12" s="1">
        <v>0.74439999999999995</v>
      </c>
      <c r="AG12" s="2">
        <f t="shared" si="2"/>
        <v>0.78166999999999998</v>
      </c>
      <c r="AI12" s="1">
        <f t="shared" ref="AI12:AI15" si="14">_xlfn.STDEV.S(U12:AD12)</f>
        <v>2.6723441644618557E-2</v>
      </c>
      <c r="AK12" s="1" t="s">
        <v>9</v>
      </c>
      <c r="AL12" s="1">
        <v>0.81940000000000002</v>
      </c>
      <c r="AM12" s="1">
        <v>0.86809999999999998</v>
      </c>
      <c r="AN12" s="1">
        <v>0.83330000000000004</v>
      </c>
      <c r="AO12" s="1">
        <v>0.81940000000000002</v>
      </c>
      <c r="AP12" s="1">
        <v>0.8125</v>
      </c>
      <c r="AQ12" s="1">
        <v>0.84030000000000005</v>
      </c>
      <c r="AR12" s="1">
        <v>0.84030000000000005</v>
      </c>
      <c r="AS12" s="1">
        <v>0.875</v>
      </c>
      <c r="AT12" s="1">
        <v>0.85419999999999996</v>
      </c>
      <c r="AU12" s="1">
        <v>0.88890000000000002</v>
      </c>
      <c r="AX12" s="2">
        <f t="shared" ref="AX12:AX14" si="15">AVERAGE(AL12:AU12)</f>
        <v>0.84514</v>
      </c>
      <c r="AZ12" s="1">
        <f t="shared" ref="AZ12:AZ14" si="16">_xlfn.STDEV.S(AL12:AU12)</f>
        <v>2.5805477454731704E-2</v>
      </c>
      <c r="BB12" s="1">
        <v>0.91069999999999995</v>
      </c>
      <c r="BC12" s="1">
        <v>0.91669999999999996</v>
      </c>
      <c r="BD12" s="1">
        <v>0.86899999999999999</v>
      </c>
      <c r="BE12" s="1">
        <v>0.92859999999999998</v>
      </c>
      <c r="BF12" s="1">
        <v>0.90480000000000005</v>
      </c>
      <c r="BG12" s="1">
        <v>0.83930000000000005</v>
      </c>
      <c r="BH12" s="1">
        <v>0.90480000000000005</v>
      </c>
      <c r="BI12" s="1">
        <v>0.92859999999999998</v>
      </c>
      <c r="BJ12" s="1">
        <v>0.94640000000000002</v>
      </c>
      <c r="BK12" s="1">
        <v>0.90480000000000005</v>
      </c>
      <c r="BN12" s="2">
        <f t="shared" ref="BN12:BN14" si="17">AVERAGE(BB12:BK12)</f>
        <v>0.9053699999999999</v>
      </c>
      <c r="BP12" s="1">
        <f t="shared" ref="BP12:BP14" si="18">_xlfn.STDEV.S(BB12:BK12)</f>
        <v>3.092733598470955E-2</v>
      </c>
      <c r="BR12" s="1">
        <v>0.9556</v>
      </c>
      <c r="BS12" s="1">
        <v>0.95389999999999997</v>
      </c>
      <c r="BT12" s="1">
        <v>0.96779999999999999</v>
      </c>
      <c r="BU12" s="1">
        <v>0.91920000000000002</v>
      </c>
      <c r="BV12" s="1">
        <v>0.94440000000000002</v>
      </c>
      <c r="BW12" s="1">
        <v>0.98609999999999998</v>
      </c>
      <c r="BX12" s="1">
        <v>0.9617</v>
      </c>
      <c r="BY12" s="1">
        <v>0.9617</v>
      </c>
      <c r="BZ12" s="1">
        <v>0.95830000000000004</v>
      </c>
      <c r="CA12" s="1">
        <v>0.96779999999999999</v>
      </c>
      <c r="CD12" s="2">
        <f t="shared" ref="CD12:CD14" si="19">AVERAGE(BR12:CA12)</f>
        <v>0.95765000000000011</v>
      </c>
      <c r="CF12" s="1">
        <f t="shared" ref="CF12:CF14" si="20">_xlfn.STDEV.S(BR12:CA12)</f>
        <v>1.7387431603827448E-2</v>
      </c>
      <c r="CK12" s="1">
        <v>0.90200000000000002</v>
      </c>
      <c r="CL12" s="1">
        <v>0.97660000000000002</v>
      </c>
      <c r="CM12" s="1">
        <v>0.82820000000000005</v>
      </c>
      <c r="CN12" s="1">
        <v>0.92930000000000001</v>
      </c>
      <c r="CO12" s="1">
        <v>0.87160000000000004</v>
      </c>
      <c r="CP12" s="1">
        <v>0.85240000000000005</v>
      </c>
      <c r="CQ12" s="1">
        <v>0.83930000000000005</v>
      </c>
      <c r="CR12" s="1">
        <v>0.85729999999999995</v>
      </c>
      <c r="CS12" s="1">
        <v>0.94230000000000003</v>
      </c>
      <c r="CT12" s="1">
        <v>0.90690000000000004</v>
      </c>
      <c r="CW12" s="2">
        <f t="shared" ref="CW12:CW14" si="21">AVERAGE(CK12:CT12)</f>
        <v>0.8905900000000001</v>
      </c>
      <c r="CY12" s="1">
        <f t="shared" ref="CY12:CY14" si="22">_xlfn.STDEV.S(CK12:CT12)</f>
        <v>4.8781609695093542E-2</v>
      </c>
      <c r="DC12" s="1">
        <v>0.82499999999999996</v>
      </c>
      <c r="DD12" s="1">
        <v>0.8075</v>
      </c>
      <c r="DE12" s="1">
        <v>0.71750000000000003</v>
      </c>
      <c r="DF12" s="1">
        <v>0.8125</v>
      </c>
      <c r="DG12" s="1">
        <v>0.82250000000000001</v>
      </c>
      <c r="DH12" s="1">
        <v>0.755</v>
      </c>
      <c r="DI12" s="1">
        <v>0.78749999999999998</v>
      </c>
      <c r="DJ12" s="1">
        <v>0.83250000000000002</v>
      </c>
      <c r="DK12" s="1">
        <v>0.6875</v>
      </c>
      <c r="DL12" s="1">
        <v>0.6875</v>
      </c>
      <c r="DO12" s="2">
        <f t="shared" ref="DO12:DO14" si="23">AVERAGE(DC12:DL12)</f>
        <v>0.77349999999999997</v>
      </c>
      <c r="DQ12" s="1">
        <f t="shared" ref="DQ12:DQ14" si="24">_xlfn.STDEV.S(DC12:DL12)</f>
        <v>5.7423862635667407E-2</v>
      </c>
    </row>
    <row r="13" spans="1:121" x14ac:dyDescent="0.3">
      <c r="B13" s="1" t="s">
        <v>10</v>
      </c>
      <c r="C13" s="1">
        <v>0.97209999999999996</v>
      </c>
      <c r="D13" s="1">
        <v>0.96230000000000004</v>
      </c>
      <c r="E13" s="1">
        <v>0.96309999999999996</v>
      </c>
      <c r="F13" s="1">
        <v>0.96309999999999996</v>
      </c>
      <c r="G13" s="1">
        <v>0.95840000000000003</v>
      </c>
      <c r="H13" s="1">
        <v>0.94</v>
      </c>
      <c r="I13" s="1">
        <v>0.96730000000000005</v>
      </c>
      <c r="J13" s="1">
        <v>0.93140000000000001</v>
      </c>
      <c r="K13" s="1">
        <v>0.95760000000000001</v>
      </c>
      <c r="L13" s="1">
        <v>0.94840000000000002</v>
      </c>
      <c r="O13" s="2">
        <f t="shared" ref="O13:O14" si="25">AVERAGE(C13:L13)</f>
        <v>0.95636999999999994</v>
      </c>
      <c r="Q13" s="1">
        <f t="shared" ref="Q13:Q14" si="26">_xlfn.STDEV.S(C13:L13)</f>
        <v>1.2707307608878711E-2</v>
      </c>
      <c r="T13" s="1" t="s">
        <v>10</v>
      </c>
      <c r="U13" s="1">
        <v>0.81179999999999997</v>
      </c>
      <c r="V13" s="1">
        <v>0.80020000000000002</v>
      </c>
      <c r="W13" s="1">
        <v>0.76729999999999998</v>
      </c>
      <c r="X13" s="1">
        <v>0.76349999999999996</v>
      </c>
      <c r="Y13" s="1">
        <v>0.76959999999999995</v>
      </c>
      <c r="Z13" s="1">
        <v>0.76349999999999996</v>
      </c>
      <c r="AA13" s="1">
        <v>0.79910000000000003</v>
      </c>
      <c r="AB13" s="1">
        <v>0.77100000000000002</v>
      </c>
      <c r="AC13" s="1">
        <v>0.82650000000000001</v>
      </c>
      <c r="AD13" s="1">
        <v>0.73970000000000002</v>
      </c>
      <c r="AG13" s="2">
        <f t="shared" si="2"/>
        <v>0.78122000000000003</v>
      </c>
      <c r="AI13" s="1">
        <f t="shared" si="14"/>
        <v>2.6771659974267156E-2</v>
      </c>
      <c r="AK13" s="1" t="s">
        <v>10</v>
      </c>
      <c r="AL13" s="1">
        <v>0.81130000000000002</v>
      </c>
      <c r="AM13" s="1">
        <v>0.86880000000000002</v>
      </c>
      <c r="AN13" s="1">
        <v>0.83309999999999995</v>
      </c>
      <c r="AO13" s="1">
        <v>0.82010000000000005</v>
      </c>
      <c r="AP13" s="1">
        <v>0.81189999999999996</v>
      </c>
      <c r="AQ13" s="1">
        <v>0.83579999999999999</v>
      </c>
      <c r="AR13" s="1">
        <v>0.83679999999999999</v>
      </c>
      <c r="AS13" s="1">
        <v>0.87350000000000005</v>
      </c>
      <c r="AT13" s="1">
        <v>0.85189999999999999</v>
      </c>
      <c r="AU13" s="1">
        <v>0.88500000000000001</v>
      </c>
      <c r="AX13" s="2">
        <f t="shared" si="15"/>
        <v>0.84282000000000001</v>
      </c>
      <c r="AZ13" s="1">
        <f t="shared" si="16"/>
        <v>2.6084427027123557E-2</v>
      </c>
      <c r="BB13" s="1">
        <v>0.9103</v>
      </c>
      <c r="BC13" s="1">
        <v>0.91659999999999997</v>
      </c>
      <c r="BD13" s="1">
        <v>0.86899999999999999</v>
      </c>
      <c r="BE13" s="1">
        <v>0.92830000000000001</v>
      </c>
      <c r="BF13" s="1">
        <v>0.90410000000000001</v>
      </c>
      <c r="BG13" s="1">
        <v>0.8367</v>
      </c>
      <c r="BH13" s="1">
        <v>0.90449999999999997</v>
      </c>
      <c r="BI13" s="1">
        <v>0.92859999999999998</v>
      </c>
      <c r="BJ13" s="1">
        <v>0.94640000000000002</v>
      </c>
      <c r="BK13" s="1">
        <v>0.90459999999999996</v>
      </c>
      <c r="BN13" s="2">
        <f t="shared" si="17"/>
        <v>0.9049100000000001</v>
      </c>
      <c r="BP13" s="1">
        <f t="shared" si="18"/>
        <v>3.1514527514218654E-2</v>
      </c>
      <c r="BR13" s="1">
        <v>0.95169999999999999</v>
      </c>
      <c r="BS13" s="1">
        <v>0.95150000000000001</v>
      </c>
      <c r="BT13" s="1">
        <v>0.96540000000000004</v>
      </c>
      <c r="BU13" s="1">
        <v>0.92269999999999996</v>
      </c>
      <c r="BV13" s="1">
        <v>0.94440000000000002</v>
      </c>
      <c r="BW13" s="1">
        <v>0.98609999999999998</v>
      </c>
      <c r="BX13" s="1">
        <v>0.95850000000000002</v>
      </c>
      <c r="BY13" s="1">
        <v>0.95850000000000002</v>
      </c>
      <c r="BZ13" s="1">
        <v>0.95830000000000004</v>
      </c>
      <c r="CA13" s="1">
        <v>0.96540000000000004</v>
      </c>
      <c r="CD13" s="2">
        <f t="shared" si="19"/>
        <v>0.95625000000000004</v>
      </c>
      <c r="CF13" s="1">
        <f t="shared" si="20"/>
        <v>1.6268869386380586E-2</v>
      </c>
      <c r="CK13" s="1">
        <v>0.8931</v>
      </c>
      <c r="CL13" s="1">
        <v>0.97899999999999998</v>
      </c>
      <c r="CM13" s="1">
        <v>0.82450000000000001</v>
      </c>
      <c r="CN13" s="1">
        <v>0.91990000000000005</v>
      </c>
      <c r="CO13" s="1">
        <v>0.87580000000000002</v>
      </c>
      <c r="CP13" s="1">
        <v>0.86029999999999995</v>
      </c>
      <c r="CQ13" s="1">
        <v>0.82809999999999995</v>
      </c>
      <c r="CR13" s="1">
        <v>0.88229999999999997</v>
      </c>
      <c r="CS13" s="1">
        <v>0.95760000000000001</v>
      </c>
      <c r="CT13" s="1">
        <v>0.91620000000000001</v>
      </c>
      <c r="CW13" s="2">
        <f t="shared" si="21"/>
        <v>0.89368000000000003</v>
      </c>
      <c r="CY13" s="1">
        <f t="shared" si="22"/>
        <v>5.0783063668466841E-2</v>
      </c>
      <c r="DC13" s="1">
        <v>0.82577100800000003</v>
      </c>
      <c r="DD13" s="1">
        <v>0.804460705</v>
      </c>
      <c r="DE13" s="1">
        <v>0.70349583299999996</v>
      </c>
      <c r="DF13" s="1">
        <v>0.81267235400000004</v>
      </c>
      <c r="DG13" s="1">
        <v>0.817269774</v>
      </c>
      <c r="DH13" s="1">
        <v>0.753078739</v>
      </c>
      <c r="DI13" s="1">
        <v>0.78838591700000005</v>
      </c>
      <c r="DJ13" s="1">
        <v>0.83245716199999997</v>
      </c>
      <c r="DK13" s="1">
        <v>0.66487646</v>
      </c>
      <c r="DL13" s="1">
        <v>0.66487646</v>
      </c>
      <c r="DO13" s="2">
        <f t="shared" si="23"/>
        <v>0.76673444120000012</v>
      </c>
      <c r="DQ13" s="1">
        <f t="shared" si="24"/>
        <v>6.6077948721411386E-2</v>
      </c>
    </row>
    <row r="14" spans="1:121" x14ac:dyDescent="0.3">
      <c r="B14" s="1" t="s">
        <v>11</v>
      </c>
      <c r="C14" s="1">
        <v>0.99580000000000002</v>
      </c>
      <c r="D14" s="1">
        <v>0.99839999999999995</v>
      </c>
      <c r="E14" s="1">
        <v>0.99680000000000002</v>
      </c>
      <c r="F14" s="1">
        <v>0.99590000000000001</v>
      </c>
      <c r="G14" s="1">
        <v>0.99329999999999996</v>
      </c>
      <c r="H14" s="1">
        <v>0.99539999999999995</v>
      </c>
      <c r="I14" s="1">
        <v>0.99819999999999998</v>
      </c>
      <c r="J14" s="1">
        <v>0.99409999999999998</v>
      </c>
      <c r="K14" s="1">
        <v>0.99460000000000004</v>
      </c>
      <c r="L14" s="1">
        <v>0.99639999999999995</v>
      </c>
      <c r="O14" s="2">
        <f t="shared" si="25"/>
        <v>0.99588999999999994</v>
      </c>
      <c r="Q14" s="1">
        <f t="shared" si="26"/>
        <v>1.6515649144573912E-3</v>
      </c>
      <c r="T14" s="1" t="s">
        <v>11</v>
      </c>
      <c r="U14" s="1">
        <v>0.97950000000000004</v>
      </c>
      <c r="V14" s="1">
        <v>0.98250000000000004</v>
      </c>
      <c r="W14" s="1">
        <v>0.97529999999999994</v>
      </c>
      <c r="X14" s="1">
        <v>0.97719999999999996</v>
      </c>
      <c r="Y14" s="1">
        <v>0.97609999999999997</v>
      </c>
      <c r="Z14" s="1">
        <v>0.97619999999999996</v>
      </c>
      <c r="AA14" s="1">
        <v>0.97570000000000001</v>
      </c>
      <c r="AB14" s="1">
        <v>0.96399999999999997</v>
      </c>
      <c r="AC14" s="1">
        <v>0.97940000000000005</v>
      </c>
      <c r="AD14" s="1">
        <v>0.97550000000000003</v>
      </c>
      <c r="AG14" s="2">
        <f t="shared" si="2"/>
        <v>0.97614000000000001</v>
      </c>
      <c r="AI14" s="1">
        <f t="shared" si="14"/>
        <v>4.8555123313611514E-3</v>
      </c>
      <c r="AK14" s="1" t="s">
        <v>11</v>
      </c>
      <c r="AL14" s="1">
        <v>0.9738</v>
      </c>
      <c r="AM14" s="1">
        <v>0.97919999999999996</v>
      </c>
      <c r="AN14" s="1">
        <v>0.97909999999999997</v>
      </c>
      <c r="AO14" s="1">
        <v>0.97230000000000005</v>
      </c>
      <c r="AP14" s="1">
        <v>0.96599999999999997</v>
      </c>
      <c r="AQ14" s="1">
        <v>0.97509999999999997</v>
      </c>
      <c r="AR14" s="1">
        <v>0.96870000000000001</v>
      </c>
      <c r="AS14" s="1">
        <v>0.97599999999999998</v>
      </c>
      <c r="AT14" s="1">
        <v>0.97709999999999997</v>
      </c>
      <c r="AU14" s="1">
        <v>0.9839</v>
      </c>
      <c r="AX14" s="2">
        <f t="shared" si="15"/>
        <v>0.9751200000000001</v>
      </c>
      <c r="AZ14" s="1">
        <f t="shared" si="16"/>
        <v>5.2531049019709326E-3</v>
      </c>
      <c r="BB14" s="1">
        <v>0.97360000000000002</v>
      </c>
      <c r="BC14" s="1">
        <v>0.96020000000000005</v>
      </c>
      <c r="BD14" s="1">
        <v>0.93920000000000003</v>
      </c>
      <c r="BE14" s="1">
        <v>0.98950000000000005</v>
      </c>
      <c r="BF14" s="1">
        <v>0.97970000000000002</v>
      </c>
      <c r="BG14" s="1">
        <v>0.92110000000000003</v>
      </c>
      <c r="BH14" s="1">
        <v>0.95609999999999995</v>
      </c>
      <c r="BI14" s="1">
        <v>0.97389999999999999</v>
      </c>
      <c r="BJ14" s="1">
        <v>0.96870000000000001</v>
      </c>
      <c r="BK14" s="1">
        <v>0.95489999999999997</v>
      </c>
      <c r="BN14" s="2">
        <f t="shared" si="17"/>
        <v>0.96169000000000016</v>
      </c>
      <c r="BP14" s="1">
        <f t="shared" si="18"/>
        <v>2.0195568820907225E-2</v>
      </c>
      <c r="BR14" s="1">
        <v>0.99750000000000005</v>
      </c>
      <c r="BS14" s="1">
        <v>0.98950000000000005</v>
      </c>
      <c r="BT14" s="1">
        <v>0.99890000000000001</v>
      </c>
      <c r="BU14" s="1">
        <v>0.98089999999999999</v>
      </c>
      <c r="BV14" s="1">
        <v>0.99070000000000003</v>
      </c>
      <c r="BW14" s="1">
        <v>0.99729999999999996</v>
      </c>
      <c r="BX14" s="1">
        <v>0.99539999999999995</v>
      </c>
      <c r="BY14" s="1">
        <v>0.99660000000000004</v>
      </c>
      <c r="BZ14" s="1">
        <v>0.99119999999999997</v>
      </c>
      <c r="CA14" s="1">
        <v>0.99809999999999999</v>
      </c>
      <c r="CD14" s="2">
        <f t="shared" si="19"/>
        <v>0.99360999999999999</v>
      </c>
      <c r="CF14" s="1">
        <f t="shared" si="20"/>
        <v>5.5951268479315502E-3</v>
      </c>
      <c r="CK14" s="1">
        <v>0.94479999999999997</v>
      </c>
      <c r="CL14" s="1">
        <v>0.99539999999999995</v>
      </c>
      <c r="CM14" s="1">
        <v>0.93049999999999999</v>
      </c>
      <c r="CN14" s="1">
        <v>0.98199999999999998</v>
      </c>
      <c r="CO14" s="1">
        <v>0.93420000000000003</v>
      </c>
      <c r="CP14" s="1">
        <v>0.9163</v>
      </c>
      <c r="CQ14" s="1">
        <v>0.87970000000000004</v>
      </c>
      <c r="CR14" s="1">
        <v>0.95469999999999999</v>
      </c>
      <c r="CS14" s="1">
        <v>0.98880000000000001</v>
      </c>
      <c r="CT14" s="1">
        <v>0.94350000000000001</v>
      </c>
      <c r="CW14" s="2">
        <f t="shared" si="21"/>
        <v>0.94698999999999989</v>
      </c>
      <c r="CY14" s="1">
        <f t="shared" si="22"/>
        <v>3.5432328301833162E-2</v>
      </c>
      <c r="DC14" s="1">
        <v>0.890625</v>
      </c>
      <c r="DD14" s="1">
        <v>0.87968749999999996</v>
      </c>
      <c r="DE14" s="1">
        <v>0.82343750000000004</v>
      </c>
      <c r="DF14" s="1">
        <v>0.8828125</v>
      </c>
      <c r="DG14" s="1">
        <v>0.88906249999999998</v>
      </c>
      <c r="DH14" s="1">
        <v>0.84687500000000004</v>
      </c>
      <c r="DI14" s="1">
        <v>0.8671875</v>
      </c>
      <c r="DJ14" s="1">
        <v>0.89531249999999996</v>
      </c>
      <c r="DK14" s="1">
        <v>0.8046875</v>
      </c>
      <c r="DL14" s="1">
        <v>0.8046875</v>
      </c>
      <c r="DO14" s="2">
        <f t="shared" si="23"/>
        <v>0.85843749999999996</v>
      </c>
      <c r="DQ14" s="1">
        <f t="shared" si="24"/>
        <v>3.5889914147292111E-2</v>
      </c>
    </row>
    <row r="15" spans="1:121" x14ac:dyDescent="0.3">
      <c r="B15" s="1" t="s">
        <v>12</v>
      </c>
      <c r="C15" s="1">
        <v>0.96530000000000005</v>
      </c>
      <c r="D15" s="1">
        <v>0.95389999999999997</v>
      </c>
      <c r="E15" s="1">
        <v>0.9536</v>
      </c>
      <c r="F15" s="1">
        <v>0.9536</v>
      </c>
      <c r="G15" s="1">
        <v>0.94789999999999996</v>
      </c>
      <c r="H15" s="1">
        <v>0.92610000000000003</v>
      </c>
      <c r="I15" s="1">
        <v>0.95960000000000001</v>
      </c>
      <c r="J15" s="1">
        <v>0.91390000000000005</v>
      </c>
      <c r="K15" s="1">
        <v>0.94789999999999996</v>
      </c>
      <c r="L15" s="1">
        <v>0.93640000000000001</v>
      </c>
      <c r="O15" s="2">
        <f>AVERAGE(C15:L15)</f>
        <v>0.94581999999999999</v>
      </c>
      <c r="Q15" s="1">
        <f>_xlfn.STDEV.S(C15:L15)</f>
        <v>1.584948649711472E-2</v>
      </c>
      <c r="T15" s="1" t="s">
        <v>12</v>
      </c>
      <c r="U15" s="1">
        <v>0.79220000000000002</v>
      </c>
      <c r="V15" s="1">
        <v>0.78710000000000002</v>
      </c>
      <c r="W15" s="1">
        <v>0.74580000000000002</v>
      </c>
      <c r="X15" s="1">
        <v>0.73619999999999997</v>
      </c>
      <c r="Y15" s="1">
        <v>0.76029999999999998</v>
      </c>
      <c r="Z15" s="1">
        <v>0.74229999999999996</v>
      </c>
      <c r="AA15" s="1">
        <v>0.7762</v>
      </c>
      <c r="AB15" s="1">
        <v>0.74260000000000004</v>
      </c>
      <c r="AC15" s="1">
        <v>0.81030000000000002</v>
      </c>
      <c r="AD15" s="1">
        <v>0.71809999999999996</v>
      </c>
      <c r="AG15" s="2">
        <f t="shared" si="2"/>
        <v>0.76111000000000006</v>
      </c>
      <c r="AI15" s="1">
        <f t="shared" si="14"/>
        <v>2.9233331432915195E-2</v>
      </c>
      <c r="AK15" s="1" t="s">
        <v>12</v>
      </c>
      <c r="AL15" s="1">
        <v>0.78659999999999997</v>
      </c>
      <c r="AM15" s="1">
        <v>0.84299999999999997</v>
      </c>
      <c r="AN15" s="1">
        <v>0.80059999999999998</v>
      </c>
      <c r="AO15" s="1">
        <v>0.78349999999999997</v>
      </c>
      <c r="AP15" s="1">
        <v>0.77659999999999996</v>
      </c>
      <c r="AQ15" s="1">
        <v>0.80979999999999996</v>
      </c>
      <c r="AR15" s="1">
        <v>0.8095</v>
      </c>
      <c r="AS15" s="1">
        <v>0.85150000000000003</v>
      </c>
      <c r="AT15" s="1">
        <v>0.82620000000000005</v>
      </c>
      <c r="AU15" s="1">
        <v>0.86760000000000004</v>
      </c>
      <c r="AX15" s="2">
        <f>AVERAGE(AL15:AU15)</f>
        <v>0.81548999999999994</v>
      </c>
      <c r="AZ15" s="1">
        <f>_xlfn.STDEV.S(AL15:AU15)</f>
        <v>3.0811377768610114E-2</v>
      </c>
      <c r="BB15" s="1">
        <v>0.8286</v>
      </c>
      <c r="BC15" s="1">
        <v>0.83430000000000004</v>
      </c>
      <c r="BD15" s="1">
        <v>0.73829999999999996</v>
      </c>
      <c r="BE15" s="1">
        <v>0.86329999999999996</v>
      </c>
      <c r="BF15" s="1">
        <v>0.82099999999999995</v>
      </c>
      <c r="BG15" s="1">
        <v>0.70079999999999998</v>
      </c>
      <c r="BH15" s="1">
        <v>0.81320000000000003</v>
      </c>
      <c r="BI15" s="1">
        <v>0.85740000000000005</v>
      </c>
      <c r="BJ15" s="1">
        <v>0.89439999999999997</v>
      </c>
      <c r="BK15" s="1">
        <v>0.81159999999999999</v>
      </c>
      <c r="BN15" s="2">
        <f>AVERAGE(BB15:BK15)</f>
        <v>0.81629000000000007</v>
      </c>
      <c r="BP15" s="1">
        <f>_xlfn.STDEV.S(BB15:BK15)</f>
        <v>5.7688000870583525E-2</v>
      </c>
      <c r="BR15" s="1">
        <v>0.90559999999999996</v>
      </c>
      <c r="BS15" s="1">
        <v>0.90390000000000004</v>
      </c>
      <c r="BT15" s="1">
        <v>0.93159999999999998</v>
      </c>
      <c r="BU15" s="1">
        <v>0.8478</v>
      </c>
      <c r="BV15" s="1">
        <v>0.88870000000000005</v>
      </c>
      <c r="BW15" s="1">
        <v>0.97219999999999995</v>
      </c>
      <c r="BX15" s="1">
        <v>0.91849999999999998</v>
      </c>
      <c r="BY15" s="1">
        <v>0.91849999999999998</v>
      </c>
      <c r="BZ15" s="1">
        <v>0.91649999999999998</v>
      </c>
      <c r="CA15" s="1">
        <v>0.93159999999999998</v>
      </c>
      <c r="CD15" s="2">
        <f>AVERAGE(BR15:CA15)</f>
        <v>0.9134899999999998</v>
      </c>
      <c r="CF15" s="1">
        <f>_xlfn.STDEV.S(BR15:CA15)</f>
        <v>3.2052056616281771E-2</v>
      </c>
      <c r="CK15" s="1">
        <v>0.78749999999999998</v>
      </c>
      <c r="CL15" s="1">
        <v>0.95889999999999997</v>
      </c>
      <c r="CM15" s="1">
        <v>0.64929999999999999</v>
      </c>
      <c r="CN15" s="1">
        <v>0.84099999999999997</v>
      </c>
      <c r="CO15" s="1">
        <v>0.75190000000000001</v>
      </c>
      <c r="CP15" s="1">
        <v>0.72189999999999999</v>
      </c>
      <c r="CQ15" s="1">
        <v>0.65869999999999995</v>
      </c>
      <c r="CR15" s="1">
        <v>0.77800000000000002</v>
      </c>
      <c r="CS15" s="1">
        <v>0.91859999999999997</v>
      </c>
      <c r="CT15" s="1">
        <v>0.83379999999999999</v>
      </c>
      <c r="CW15" s="2">
        <f>AVERAGE(CK15:CT15)</f>
        <v>0.78996</v>
      </c>
      <c r="CY15" s="1">
        <f>_xlfn.STDEV.S(CK15:CT15)</f>
        <v>0.10157659616707461</v>
      </c>
      <c r="DC15" s="1">
        <v>0.78369058800000002</v>
      </c>
      <c r="DD15" s="1">
        <v>0.76309220499999997</v>
      </c>
      <c r="DE15" s="1">
        <v>0.65547302399999996</v>
      </c>
      <c r="DF15" s="1">
        <v>0.76916044699999997</v>
      </c>
      <c r="DG15" s="1">
        <v>0.78449422700000004</v>
      </c>
      <c r="DH15" s="1">
        <v>0.70035797300000002</v>
      </c>
      <c r="DI15" s="1">
        <v>0.74103369399999997</v>
      </c>
      <c r="DJ15" s="1">
        <v>0.79175777700000005</v>
      </c>
      <c r="DK15" s="1">
        <v>0.62634493499999999</v>
      </c>
      <c r="DL15" s="1">
        <v>0.62634493499999999</v>
      </c>
      <c r="DO15" s="2">
        <f>AVERAGE(DC15:DL15)</f>
        <v>0.72417498050000007</v>
      </c>
      <c r="DQ15" s="1">
        <f>_xlfn.STDEV.S(DC15:DL15)</f>
        <v>6.6665880391455323E-2</v>
      </c>
    </row>
    <row r="16" spans="1:121" x14ac:dyDescent="0.3">
      <c r="AG16" s="2"/>
    </row>
    <row r="17" spans="1:121" x14ac:dyDescent="0.3">
      <c r="AG17" s="2"/>
      <c r="DB17" s="10"/>
    </row>
    <row r="18" spans="1:121" x14ac:dyDescent="0.3">
      <c r="A18" s="1" t="s">
        <v>22</v>
      </c>
      <c r="B18" s="1" t="s">
        <v>17</v>
      </c>
      <c r="C18" s="1">
        <v>0.98139534900000003</v>
      </c>
      <c r="D18" s="1">
        <v>0.97674418600000001</v>
      </c>
      <c r="E18" s="1">
        <v>0.97674418600000001</v>
      </c>
      <c r="F18" s="1">
        <v>0.98139534900000003</v>
      </c>
      <c r="G18" s="1">
        <v>0.98139534900000003</v>
      </c>
      <c r="H18" s="1">
        <v>0.98139534900000003</v>
      </c>
      <c r="I18" s="1">
        <v>0.98139534900000003</v>
      </c>
      <c r="J18" s="1">
        <v>0.97674418600000001</v>
      </c>
      <c r="K18" s="1">
        <v>0.98139534900000003</v>
      </c>
      <c r="L18" s="1">
        <v>0.98139534900000003</v>
      </c>
      <c r="O18" s="2">
        <f>AVERAGE(C18:L18)</f>
        <v>0.98000000009999988</v>
      </c>
      <c r="Q18" s="1">
        <f>_xlfn.STDEV.S(C18:L18)</f>
        <v>2.2467251780312301E-3</v>
      </c>
      <c r="T18" s="1" t="s">
        <v>8</v>
      </c>
      <c r="U18" s="1">
        <v>0.81666666666666665</v>
      </c>
      <c r="V18" s="1">
        <v>0.80555555555555558</v>
      </c>
      <c r="W18" s="1">
        <v>0.85</v>
      </c>
      <c r="X18" s="1">
        <v>0.82777777777777772</v>
      </c>
      <c r="Y18" s="1">
        <v>0.80555555555555558</v>
      </c>
      <c r="Z18" s="1">
        <v>0.85</v>
      </c>
      <c r="AA18" s="1">
        <v>0.82222222222222219</v>
      </c>
      <c r="AB18" s="1">
        <v>0.81666666666666665</v>
      </c>
      <c r="AC18" s="1">
        <v>0.82222222222222219</v>
      </c>
      <c r="AD18" s="1">
        <v>0.81111111111111112</v>
      </c>
      <c r="AG18" s="2">
        <f>AVERAGE(U18:AD18)</f>
        <v>0.82277777777777761</v>
      </c>
      <c r="AI18" s="1">
        <f>_xlfn.STDEV.S(U18:AD18)</f>
        <v>1.602681223956947E-2</v>
      </c>
      <c r="AK18" s="1" t="s">
        <v>8</v>
      </c>
      <c r="AL18" s="1">
        <v>0.9375</v>
      </c>
      <c r="AM18" s="1">
        <v>0.9375</v>
      </c>
      <c r="AN18" s="1">
        <v>0.9375</v>
      </c>
      <c r="AO18" s="1">
        <v>0.95138888888888884</v>
      </c>
      <c r="AP18" s="1">
        <v>0.91666666666666663</v>
      </c>
      <c r="AQ18" s="1">
        <v>0.9375</v>
      </c>
      <c r="AR18" s="1">
        <v>0.95138888888888884</v>
      </c>
      <c r="AS18" s="1">
        <v>0.9375</v>
      </c>
      <c r="AT18" s="1">
        <v>0.92361111111111116</v>
      </c>
      <c r="AU18" s="1">
        <v>0.92361111111111116</v>
      </c>
      <c r="AX18" s="2">
        <f>AVERAGE(AL18:AU18)</f>
        <v>0.93541666666666656</v>
      </c>
      <c r="AZ18" s="1">
        <f>_xlfn.STDEV.S(AL18:AU18)</f>
        <v>1.1363831211697737E-2</v>
      </c>
      <c r="BB18" s="1">
        <v>0.97619047619047616</v>
      </c>
      <c r="BC18" s="1">
        <v>0.9821428571428571</v>
      </c>
      <c r="BD18" s="1">
        <v>0.98809523809523814</v>
      </c>
      <c r="BE18" s="1">
        <v>0.98809523809523814</v>
      </c>
      <c r="BF18" s="1">
        <v>0.97619047619047616</v>
      </c>
      <c r="BG18" s="1">
        <v>0.9821428571428571</v>
      </c>
      <c r="BH18" s="1">
        <v>0.97619047619047616</v>
      </c>
      <c r="BI18" s="1">
        <v>0.9821428571428571</v>
      </c>
      <c r="BJ18" s="1">
        <v>0.9821428571428571</v>
      </c>
      <c r="BK18" s="1">
        <v>0.9821428571428571</v>
      </c>
      <c r="BN18" s="2">
        <f>AVERAGE(BB18:BK18)</f>
        <v>0.981547619047619</v>
      </c>
      <c r="BP18" s="1">
        <f>_xlfn.STDEV.S(BB18:BK18)</f>
        <v>4.3920523057894376E-3</v>
      </c>
      <c r="BR18" s="1">
        <v>0.97945205479452058</v>
      </c>
      <c r="BS18" s="1">
        <v>0.99315068493150682</v>
      </c>
      <c r="BT18" s="1">
        <v>0.97945205479452058</v>
      </c>
      <c r="BU18" s="1">
        <v>1</v>
      </c>
      <c r="BV18" s="1">
        <v>0.97945205479452058</v>
      </c>
      <c r="BW18" s="1">
        <v>0.97945205479452058</v>
      </c>
      <c r="BX18" s="1">
        <v>0.97945205479452058</v>
      </c>
      <c r="BY18" s="1">
        <v>0.98630136986301364</v>
      </c>
      <c r="BZ18" s="1">
        <v>0.97945205479452058</v>
      </c>
      <c r="CA18" s="1">
        <v>0.97945205479452058</v>
      </c>
      <c r="CD18" s="2">
        <f>AVERAGE(BR18:CA18)</f>
        <v>0.98356164383561651</v>
      </c>
      <c r="CF18" s="1">
        <f>_xlfn.STDEV.S(BR18:CA18)</f>
        <v>7.3627924641995711E-3</v>
      </c>
      <c r="CK18" s="1">
        <v>0.95454545454545459</v>
      </c>
      <c r="CL18" s="1">
        <v>0.94318181818181823</v>
      </c>
      <c r="CM18" s="1">
        <v>0.93181818181818177</v>
      </c>
      <c r="CN18" s="1">
        <v>0.94318181818181823</v>
      </c>
      <c r="CO18" s="1">
        <v>0.95454545454545459</v>
      </c>
      <c r="CP18" s="1">
        <v>0.94318181818181823</v>
      </c>
      <c r="CQ18" s="1">
        <v>0.95454545454545459</v>
      </c>
      <c r="CR18" s="1">
        <v>0.95454545454545459</v>
      </c>
      <c r="CS18" s="1">
        <v>0.94318181818181823</v>
      </c>
      <c r="CT18" s="1">
        <v>0.94318181818181823</v>
      </c>
      <c r="CW18" s="2">
        <f>AVERAGE(CK18:CT18)</f>
        <v>0.94659090909090915</v>
      </c>
      <c r="CY18" s="1">
        <f>_xlfn.STDEV.S(CK18:CT18)</f>
        <v>7.6698699739835736E-3</v>
      </c>
      <c r="DC18" s="1">
        <v>0.84750000000000003</v>
      </c>
      <c r="DD18" s="1">
        <v>0.85750000000000004</v>
      </c>
      <c r="DE18" s="1">
        <v>0.84750000000000003</v>
      </c>
      <c r="DF18" s="1">
        <v>0.85</v>
      </c>
      <c r="DG18" s="1">
        <v>0.85499999999999998</v>
      </c>
      <c r="DH18" s="1">
        <v>0.85499999999999998</v>
      </c>
      <c r="DI18" s="1">
        <v>0.86499999999999999</v>
      </c>
      <c r="DJ18" s="1">
        <v>0.85750000000000004</v>
      </c>
      <c r="DK18" s="1">
        <v>0.84499999999999997</v>
      </c>
      <c r="DL18" s="1">
        <v>0.82499999999999996</v>
      </c>
      <c r="DO18" s="2">
        <f>AVERAGE(DC18:DL18)</f>
        <v>0.85050000000000003</v>
      </c>
      <c r="DQ18" s="1">
        <f>_xlfn.STDEV.S(DC18:DL18)</f>
        <v>1.0788368221788186E-2</v>
      </c>
    </row>
    <row r="19" spans="1:121" x14ac:dyDescent="0.3">
      <c r="B19" s="1" t="s">
        <v>18</v>
      </c>
      <c r="C19" s="1">
        <v>0.98139534900000003</v>
      </c>
      <c r="D19" s="1">
        <v>0.97674418600000001</v>
      </c>
      <c r="E19" s="1">
        <v>0.97674418600000001</v>
      </c>
      <c r="F19" s="1">
        <v>0.98139534900000003</v>
      </c>
      <c r="G19" s="1">
        <v>0.98139534900000003</v>
      </c>
      <c r="H19" s="1">
        <v>0.98139534900000003</v>
      </c>
      <c r="I19" s="1">
        <v>0.98139534900000003</v>
      </c>
      <c r="J19" s="1">
        <v>0.97674418600000001</v>
      </c>
      <c r="K19" s="1">
        <v>0.98139534900000003</v>
      </c>
      <c r="L19" s="1">
        <v>0.98139534900000003</v>
      </c>
      <c r="O19" s="2">
        <f t="shared" ref="O19:O21" si="27">AVERAGE(C19:L19)</f>
        <v>0.98000000009999988</v>
      </c>
      <c r="Q19" s="1">
        <f t="shared" ref="Q19:Q21" si="28">_xlfn.STDEV.S(C19:L19)</f>
        <v>2.2467251780312301E-3</v>
      </c>
      <c r="T19" s="1" t="s">
        <v>9</v>
      </c>
      <c r="U19" s="1">
        <v>0.81666666666666665</v>
      </c>
      <c r="V19" s="1">
        <v>0.80555555555555558</v>
      </c>
      <c r="W19" s="1">
        <v>0.85</v>
      </c>
      <c r="X19" s="1">
        <v>0.82777777777777772</v>
      </c>
      <c r="Y19" s="1">
        <v>0.80555555555555558</v>
      </c>
      <c r="Z19" s="1">
        <v>0.85</v>
      </c>
      <c r="AA19" s="1">
        <v>0.8222222222222223</v>
      </c>
      <c r="AB19" s="1">
        <v>0.81666666666666676</v>
      </c>
      <c r="AC19" s="1">
        <v>0.82222222222222219</v>
      </c>
      <c r="AD19" s="1">
        <v>0.81111111111111112</v>
      </c>
      <c r="AG19" s="2">
        <f t="shared" ref="AG19:AG22" si="29">AVERAGE(U19:AD19)</f>
        <v>0.82277777777777761</v>
      </c>
      <c r="AI19" s="1">
        <f t="shared" ref="AI19:AI22" si="30">_xlfn.STDEV.S(U19:AD19)</f>
        <v>1.6026812239569466E-2</v>
      </c>
      <c r="AK19" s="1" t="s">
        <v>9</v>
      </c>
      <c r="AL19" s="1">
        <v>0.9375</v>
      </c>
      <c r="AM19" s="1">
        <v>0.9375</v>
      </c>
      <c r="AN19" s="1">
        <v>0.93749999999999989</v>
      </c>
      <c r="AO19" s="1">
        <v>0.95138888888888895</v>
      </c>
      <c r="AP19" s="1">
        <v>0.91666666666666663</v>
      </c>
      <c r="AQ19" s="1">
        <v>0.9375</v>
      </c>
      <c r="AR19" s="1">
        <v>0.95138888888888895</v>
      </c>
      <c r="AS19" s="1">
        <v>0.9375</v>
      </c>
      <c r="AT19" s="1">
        <v>0.92361111111111105</v>
      </c>
      <c r="AU19" s="1">
        <v>0.92361111111111116</v>
      </c>
      <c r="AX19" s="2">
        <f t="shared" ref="AX19:AX21" si="31">AVERAGE(AL19:AU19)</f>
        <v>0.93541666666666656</v>
      </c>
      <c r="AZ19" s="1">
        <f t="shared" ref="AZ19:AZ21" si="32">_xlfn.STDEV.S(AL19:AU19)</f>
        <v>1.1363831211697782E-2</v>
      </c>
      <c r="BB19" s="1">
        <v>0.97619047619047616</v>
      </c>
      <c r="BC19" s="1">
        <v>0.98214285714285721</v>
      </c>
      <c r="BD19" s="1">
        <v>0.98809523809523814</v>
      </c>
      <c r="BE19" s="1">
        <v>0.98809523809523814</v>
      </c>
      <c r="BF19" s="1">
        <v>0.97619047619047628</v>
      </c>
      <c r="BG19" s="1">
        <v>0.98214285714285721</v>
      </c>
      <c r="BH19" s="1">
        <v>0.97619047619047628</v>
      </c>
      <c r="BI19" s="1">
        <v>0.98214285714285721</v>
      </c>
      <c r="BJ19" s="1">
        <v>0.98214285714285721</v>
      </c>
      <c r="BK19" s="1">
        <v>0.98214285714285721</v>
      </c>
      <c r="BN19" s="2">
        <f t="shared" ref="BN19:BN21" si="33">AVERAGE(BB19:BK19)</f>
        <v>0.98154761904761934</v>
      </c>
      <c r="BP19" s="1">
        <f t="shared" ref="BP19:BP21" si="34">_xlfn.STDEV.S(BB19:BK19)</f>
        <v>4.3920523057894151E-3</v>
      </c>
      <c r="BR19" s="1">
        <v>0.97827743902439024</v>
      </c>
      <c r="BS19" s="1">
        <v>0.9921875</v>
      </c>
      <c r="BT19" s="1">
        <v>0.97827743902439024</v>
      </c>
      <c r="BU19" s="1">
        <v>1</v>
      </c>
      <c r="BV19" s="1">
        <v>0.9765625</v>
      </c>
      <c r="BW19" s="1">
        <v>0.9765625</v>
      </c>
      <c r="BX19" s="1">
        <v>0.9765625</v>
      </c>
      <c r="BY19" s="1">
        <v>0.98608993902439024</v>
      </c>
      <c r="BZ19" s="1">
        <v>0.9765625</v>
      </c>
      <c r="CA19" s="1">
        <v>0.97827743902439024</v>
      </c>
      <c r="CD19" s="2">
        <f t="shared" ref="CD19:CD21" si="35">AVERAGE(BR19:CA19)</f>
        <v>0.98193597560975621</v>
      </c>
      <c r="CF19" s="1">
        <f t="shared" ref="CF19:CF21" si="36">_xlfn.STDEV.S(BR19:CA19)</f>
        <v>8.1942376223184173E-3</v>
      </c>
      <c r="CK19" s="1">
        <v>0.92307692307692313</v>
      </c>
      <c r="CL19" s="1">
        <v>0.92617866004962779</v>
      </c>
      <c r="CM19" s="1">
        <v>0.90694789081885863</v>
      </c>
      <c r="CN19" s="1">
        <v>0.91501240694789088</v>
      </c>
      <c r="CO19" s="1">
        <v>0.92307692307692313</v>
      </c>
      <c r="CP19" s="1">
        <v>0.91501240694789088</v>
      </c>
      <c r="CQ19" s="1">
        <v>0.92307692307692313</v>
      </c>
      <c r="CR19" s="1">
        <v>0.92307692307692313</v>
      </c>
      <c r="CS19" s="1">
        <v>0.92617866004962779</v>
      </c>
      <c r="CT19" s="1">
        <v>0.90384615384615385</v>
      </c>
      <c r="CW19" s="2">
        <f t="shared" ref="CW19:CW21" si="37">AVERAGE(CK19:CT19)</f>
        <v>0.91854838709677422</v>
      </c>
      <c r="CY19" s="1">
        <f t="shared" ref="CY19:CY21" si="38">_xlfn.STDEV.S(CK19:CT19)</f>
        <v>7.9875331391438091E-3</v>
      </c>
      <c r="DC19" s="1">
        <v>0.84749999999999992</v>
      </c>
      <c r="DD19" s="1">
        <v>0.85749999999999993</v>
      </c>
      <c r="DE19" s="1">
        <v>0.84749999999999992</v>
      </c>
      <c r="DF19" s="1">
        <v>0.85</v>
      </c>
      <c r="DG19" s="1">
        <v>0.85500000000000009</v>
      </c>
      <c r="DH19" s="1">
        <v>0.85500000000000009</v>
      </c>
      <c r="DI19" s="1">
        <v>0.86499999999999999</v>
      </c>
      <c r="DJ19" s="1">
        <v>0.85750000000000015</v>
      </c>
      <c r="DK19" s="1">
        <v>0.84499999999999997</v>
      </c>
      <c r="DL19" s="1">
        <v>0.82499999999999996</v>
      </c>
      <c r="DO19" s="2">
        <f t="shared" ref="DO19:DO21" si="39">AVERAGE(DC19:DL19)</f>
        <v>0.85050000000000003</v>
      </c>
      <c r="DQ19" s="1">
        <f t="shared" ref="DQ19:DQ21" si="40">_xlfn.STDEV.S(DC19:DL19)</f>
        <v>1.0788368221788204E-2</v>
      </c>
    </row>
    <row r="20" spans="1:121" x14ac:dyDescent="0.3">
      <c r="B20" s="1" t="s">
        <v>19</v>
      </c>
      <c r="C20" s="1">
        <v>0.98139346199999999</v>
      </c>
      <c r="D20" s="1">
        <v>0.97679144399999995</v>
      </c>
      <c r="E20" s="1">
        <v>0.97668883799999995</v>
      </c>
      <c r="F20" s="1">
        <v>0.98149602300000005</v>
      </c>
      <c r="G20" s="1">
        <v>0.98139346199999999</v>
      </c>
      <c r="H20" s="1">
        <v>0.98139346199999999</v>
      </c>
      <c r="I20" s="1">
        <v>0.98149602300000005</v>
      </c>
      <c r="J20" s="1">
        <v>0.976793829</v>
      </c>
      <c r="K20" s="1">
        <v>0.98149602300000005</v>
      </c>
      <c r="L20" s="1">
        <v>0.98139346199999999</v>
      </c>
      <c r="O20" s="2">
        <f t="shared" si="27"/>
        <v>0.98003360280000007</v>
      </c>
      <c r="Q20" s="1">
        <f t="shared" si="28"/>
        <v>2.2609748690506299E-3</v>
      </c>
      <c r="T20" s="1" t="s">
        <v>10</v>
      </c>
      <c r="U20" s="1">
        <v>0.81567058393683778</v>
      </c>
      <c r="V20" s="1">
        <v>0.80767134936252583</v>
      </c>
      <c r="W20" s="1">
        <v>0.85159651704643213</v>
      </c>
      <c r="X20" s="1">
        <v>0.83095336167511857</v>
      </c>
      <c r="Y20" s="1">
        <v>0.80324772513166121</v>
      </c>
      <c r="Z20" s="1">
        <v>0.85098268098268082</v>
      </c>
      <c r="AA20" s="1">
        <v>0.82152664086487626</v>
      </c>
      <c r="AB20" s="1">
        <v>0.81538531870669606</v>
      </c>
      <c r="AC20" s="1">
        <v>0.81887070417087904</v>
      </c>
      <c r="AD20" s="1">
        <v>0.81150404797463627</v>
      </c>
      <c r="AG20" s="2">
        <f t="shared" si="29"/>
        <v>0.82274089298523445</v>
      </c>
      <c r="AI20" s="1">
        <f t="shared" si="30"/>
        <v>1.6837716286395056E-2</v>
      </c>
      <c r="AK20" s="1" t="s">
        <v>10</v>
      </c>
      <c r="AL20" s="1">
        <v>0.93678080925041407</v>
      </c>
      <c r="AM20" s="1">
        <v>0.93526287406079389</v>
      </c>
      <c r="AN20" s="1">
        <v>0.93730936819172106</v>
      </c>
      <c r="AO20" s="1">
        <v>0.94937106757596668</v>
      </c>
      <c r="AP20" s="1">
        <v>0.91540448287632259</v>
      </c>
      <c r="AQ20" s="1">
        <v>0.93581073435176787</v>
      </c>
      <c r="AR20" s="1">
        <v>0.95018921301596082</v>
      </c>
      <c r="AS20" s="1">
        <v>0.93674599791607471</v>
      </c>
      <c r="AT20" s="1">
        <v>0.92168756006443486</v>
      </c>
      <c r="AU20" s="1">
        <v>0.92232672735164434</v>
      </c>
      <c r="AX20" s="2">
        <f t="shared" si="31"/>
        <v>0.93408888346551</v>
      </c>
      <c r="AZ20" s="1">
        <f t="shared" si="32"/>
        <v>1.136776629402508E-2</v>
      </c>
      <c r="BB20" s="1">
        <v>0.97619047619047616</v>
      </c>
      <c r="BC20" s="1">
        <v>0.98214222442688581</v>
      </c>
      <c r="BD20" s="1">
        <v>0.98809355067328131</v>
      </c>
      <c r="BE20" s="1">
        <v>0.98809523809523814</v>
      </c>
      <c r="BF20" s="1">
        <v>0.97618710134656272</v>
      </c>
      <c r="BG20" s="1">
        <v>0.98214222442688581</v>
      </c>
      <c r="BH20" s="1">
        <v>0.97618710134656272</v>
      </c>
      <c r="BI20" s="1">
        <v>0.98214222442688581</v>
      </c>
      <c r="BJ20" s="1">
        <v>0.98214222442688581</v>
      </c>
      <c r="BK20" s="1">
        <v>0.98214222442688581</v>
      </c>
      <c r="BN20" s="2">
        <f t="shared" si="33"/>
        <v>0.98154645897865489</v>
      </c>
      <c r="BP20" s="1">
        <f t="shared" si="34"/>
        <v>4.3926400566650864E-3</v>
      </c>
      <c r="BR20" s="1">
        <v>0.97909806728704374</v>
      </c>
      <c r="BS20" s="1">
        <v>0.99303268909568121</v>
      </c>
      <c r="BT20" s="1">
        <v>0.97909806728704374</v>
      </c>
      <c r="BU20" s="1">
        <v>1</v>
      </c>
      <c r="BV20" s="1">
        <v>0.97901796407185626</v>
      </c>
      <c r="BW20" s="1">
        <v>0.97901796407185626</v>
      </c>
      <c r="BX20" s="1">
        <v>0.97901796407185626</v>
      </c>
      <c r="BY20" s="1">
        <v>0.98608993902439024</v>
      </c>
      <c r="BZ20" s="1">
        <v>0.97901796407185626</v>
      </c>
      <c r="CA20" s="1">
        <v>0.97909806728704374</v>
      </c>
      <c r="CD20" s="2">
        <f t="shared" si="35"/>
        <v>0.98324886862686278</v>
      </c>
      <c r="CF20" s="1">
        <f t="shared" si="36"/>
        <v>7.5106213306527858E-3</v>
      </c>
      <c r="CK20" s="1">
        <v>0.94270833333333326</v>
      </c>
      <c r="CL20" s="1">
        <v>0.93098039215686268</v>
      </c>
      <c r="CM20" s="1">
        <v>0.91619047619047622</v>
      </c>
      <c r="CN20" s="1">
        <v>0.92929455246665593</v>
      </c>
      <c r="CO20" s="1">
        <v>0.94270833333333326</v>
      </c>
      <c r="CP20" s="1">
        <v>0.92929455246665593</v>
      </c>
      <c r="CQ20" s="1">
        <v>0.94270833333333326</v>
      </c>
      <c r="CR20" s="1">
        <v>0.94270833333333326</v>
      </c>
      <c r="CS20" s="1">
        <v>0.93098039215686268</v>
      </c>
      <c r="CT20" s="1">
        <v>0.92742866567705762</v>
      </c>
      <c r="CW20" s="2">
        <f t="shared" si="37"/>
        <v>0.93350023644479041</v>
      </c>
      <c r="CY20" s="1">
        <f t="shared" si="38"/>
        <v>8.9673652194020292E-3</v>
      </c>
      <c r="DC20" s="1">
        <v>0.84855996472663142</v>
      </c>
      <c r="DD20" s="1">
        <v>0.85620890218777335</v>
      </c>
      <c r="DE20" s="1">
        <v>0.849142322033136</v>
      </c>
      <c r="DF20" s="1">
        <v>0.84825744724744645</v>
      </c>
      <c r="DG20" s="1">
        <v>0.85297099748685878</v>
      </c>
      <c r="DH20" s="1">
        <v>0.85510993626648035</v>
      </c>
      <c r="DI20" s="1">
        <v>0.86513566122494401</v>
      </c>
      <c r="DJ20" s="1">
        <v>0.85765103264241005</v>
      </c>
      <c r="DK20" s="1">
        <v>0.84554793011379825</v>
      </c>
      <c r="DL20" s="1">
        <v>0.82282244736040389</v>
      </c>
      <c r="DO20" s="2">
        <f t="shared" si="39"/>
        <v>0.85014066412898814</v>
      </c>
      <c r="DQ20" s="1">
        <f t="shared" si="40"/>
        <v>1.1181351117224262E-2</v>
      </c>
    </row>
    <row r="21" spans="1:121" x14ac:dyDescent="0.3">
      <c r="B21" s="1" t="s">
        <v>20</v>
      </c>
      <c r="C21" s="1">
        <v>0.98837209299999995</v>
      </c>
      <c r="D21" s="1">
        <v>0.98546511599999997</v>
      </c>
      <c r="E21" s="1">
        <v>0.98546511599999997</v>
      </c>
      <c r="F21" s="1">
        <v>0.98837209299999995</v>
      </c>
      <c r="G21" s="1">
        <v>0.98837209299999995</v>
      </c>
      <c r="H21" s="1">
        <v>0.98837209299999995</v>
      </c>
      <c r="I21" s="1">
        <v>0.98837209299999995</v>
      </c>
      <c r="J21" s="1">
        <v>0.98546511599999997</v>
      </c>
      <c r="K21" s="1">
        <v>0.98837209299999995</v>
      </c>
      <c r="L21" s="1">
        <v>0.98837209299999995</v>
      </c>
      <c r="O21" s="2">
        <f t="shared" si="27"/>
        <v>0.98749999990000004</v>
      </c>
      <c r="Q21" s="1">
        <f t="shared" si="28"/>
        <v>1.4042032966502401E-3</v>
      </c>
      <c r="T21" s="1" t="s">
        <v>11</v>
      </c>
      <c r="U21" s="1">
        <v>0.89814814814814814</v>
      </c>
      <c r="V21" s="1">
        <v>0.89197530864197527</v>
      </c>
      <c r="W21" s="1">
        <v>0.91666666666666663</v>
      </c>
      <c r="X21" s="1">
        <v>0.9043209876543209</v>
      </c>
      <c r="Y21" s="1">
        <v>0.89197530864197527</v>
      </c>
      <c r="Z21" s="1">
        <v>0.91666666666666663</v>
      </c>
      <c r="AA21" s="1">
        <v>0.90123456790123446</v>
      </c>
      <c r="AB21" s="1">
        <v>0.89814814814814814</v>
      </c>
      <c r="AC21" s="1">
        <v>0.90123456790123446</v>
      </c>
      <c r="AD21" s="1">
        <v>0.89506172839506171</v>
      </c>
      <c r="AG21" s="2">
        <f t="shared" si="29"/>
        <v>0.90154320987654324</v>
      </c>
      <c r="AI21" s="1">
        <f t="shared" si="30"/>
        <v>8.9037845775385982E-3</v>
      </c>
      <c r="AK21" s="1" t="s">
        <v>11</v>
      </c>
      <c r="AL21" s="1">
        <v>0.96250000000000002</v>
      </c>
      <c r="AM21" s="1">
        <v>0.96250000000000002</v>
      </c>
      <c r="AN21" s="1">
        <v>0.96250000000000002</v>
      </c>
      <c r="AO21" s="1">
        <v>0.97083333333333333</v>
      </c>
      <c r="AP21" s="1">
        <v>0.95000000000000007</v>
      </c>
      <c r="AQ21" s="1">
        <v>0.96250000000000002</v>
      </c>
      <c r="AR21" s="1">
        <v>0.97083333333333333</v>
      </c>
      <c r="AS21" s="1">
        <v>0.96249999999999991</v>
      </c>
      <c r="AT21" s="1">
        <v>0.95416666666666672</v>
      </c>
      <c r="AU21" s="1">
        <v>0.95416666666666661</v>
      </c>
      <c r="AX21" s="2">
        <f t="shared" si="31"/>
        <v>0.96125000000000005</v>
      </c>
      <c r="AZ21" s="1">
        <f t="shared" si="32"/>
        <v>6.818298727018641E-3</v>
      </c>
      <c r="BB21" s="1">
        <v>0.97619047619047628</v>
      </c>
      <c r="BC21" s="1">
        <v>0.9821428571428571</v>
      </c>
      <c r="BD21" s="1">
        <v>0.98809523809523803</v>
      </c>
      <c r="BE21" s="1">
        <v>0.98809523809523814</v>
      </c>
      <c r="BF21" s="1">
        <v>0.97619047619047628</v>
      </c>
      <c r="BG21" s="1">
        <v>0.9821428571428571</v>
      </c>
      <c r="BH21" s="1">
        <v>0.97619047619047628</v>
      </c>
      <c r="BI21" s="1">
        <v>0.98214285714285721</v>
      </c>
      <c r="BJ21" s="1">
        <v>0.9821428571428571</v>
      </c>
      <c r="BK21" s="1">
        <v>0.9821428571428571</v>
      </c>
      <c r="BN21" s="2">
        <f t="shared" si="33"/>
        <v>0.98154761904761911</v>
      </c>
      <c r="BP21" s="1">
        <f t="shared" si="34"/>
        <v>4.3920523057893752E-3</v>
      </c>
      <c r="BR21" s="1">
        <v>0.97827743902439024</v>
      </c>
      <c r="BS21" s="1">
        <v>0.9921875</v>
      </c>
      <c r="BT21" s="1">
        <v>0.97827743902439024</v>
      </c>
      <c r="BU21" s="1">
        <v>1</v>
      </c>
      <c r="BV21" s="1">
        <v>0.9765625</v>
      </c>
      <c r="BW21" s="1">
        <v>0.9765625</v>
      </c>
      <c r="BX21" s="1">
        <v>0.9765625</v>
      </c>
      <c r="BY21" s="1">
        <v>0.98608993902439024</v>
      </c>
      <c r="BZ21" s="1">
        <v>0.9765625</v>
      </c>
      <c r="CA21" s="1">
        <v>0.97827743902439024</v>
      </c>
      <c r="CD21" s="2">
        <f t="shared" si="35"/>
        <v>0.98193597560975621</v>
      </c>
      <c r="CF21" s="1">
        <f t="shared" si="36"/>
        <v>8.1942376223184173E-3</v>
      </c>
      <c r="CK21" s="1">
        <v>0.92307692307692313</v>
      </c>
      <c r="CL21" s="1">
        <v>0.92617866004962779</v>
      </c>
      <c r="CM21" s="1">
        <v>0.90694789081885863</v>
      </c>
      <c r="CN21" s="1">
        <v>0.91501240694789088</v>
      </c>
      <c r="CO21" s="1">
        <v>0.92307692307692313</v>
      </c>
      <c r="CP21" s="1">
        <v>0.91501240694789088</v>
      </c>
      <c r="CQ21" s="1">
        <v>0.92307692307692313</v>
      </c>
      <c r="CR21" s="1">
        <v>0.92307692307692313</v>
      </c>
      <c r="CS21" s="1">
        <v>0.92617866004962779</v>
      </c>
      <c r="CT21" s="1">
        <v>0.90384615384615385</v>
      </c>
      <c r="CW21" s="2">
        <f t="shared" si="37"/>
        <v>0.91854838709677422</v>
      </c>
      <c r="CY21" s="1">
        <f t="shared" si="38"/>
        <v>7.9875331391438091E-3</v>
      </c>
      <c r="DC21" s="1">
        <v>0.90468749999999998</v>
      </c>
      <c r="DD21" s="1">
        <v>0.91093749999999996</v>
      </c>
      <c r="DE21" s="1">
        <v>0.90468749999999998</v>
      </c>
      <c r="DF21" s="1">
        <v>0.90625</v>
      </c>
      <c r="DG21" s="1">
        <v>0.90937500000000004</v>
      </c>
      <c r="DH21" s="1">
        <v>0.90937500000000004</v>
      </c>
      <c r="DI21" s="1">
        <v>0.91562500000000002</v>
      </c>
      <c r="DJ21" s="1">
        <v>0.91093749999999996</v>
      </c>
      <c r="DK21" s="1">
        <v>0.90312499999999996</v>
      </c>
      <c r="DL21" s="1">
        <v>0.890625</v>
      </c>
      <c r="DO21" s="2">
        <f t="shared" si="39"/>
        <v>0.90656250000000005</v>
      </c>
      <c r="DQ21" s="1">
        <f t="shared" si="40"/>
        <v>6.7427301386176128E-3</v>
      </c>
    </row>
    <row r="22" spans="1:121" x14ac:dyDescent="0.3">
      <c r="B22" s="1" t="s">
        <v>21</v>
      </c>
      <c r="C22" s="1">
        <v>0.97677060000000004</v>
      </c>
      <c r="D22" s="1">
        <v>0.97100900899999998</v>
      </c>
      <c r="E22" s="1">
        <v>0.97095648899999998</v>
      </c>
      <c r="F22" s="1">
        <v>0.97684985400000002</v>
      </c>
      <c r="G22" s="1">
        <v>0.97677060000000004</v>
      </c>
      <c r="H22" s="1">
        <v>0.97677060000000004</v>
      </c>
      <c r="I22" s="1">
        <v>0.97684985400000002</v>
      </c>
      <c r="J22" s="1">
        <v>0.97100900899999998</v>
      </c>
      <c r="K22" s="1">
        <v>0.97684985400000002</v>
      </c>
      <c r="L22" s="1">
        <v>0.97677060000000004</v>
      </c>
      <c r="O22" s="2">
        <f>AVERAGE(C22:L22)</f>
        <v>0.97506064690000005</v>
      </c>
      <c r="Q22" s="1">
        <f>_xlfn.STDEV.S(C22:L22)</f>
        <v>2.8082259320795443E-3</v>
      </c>
      <c r="T22" s="1" t="s">
        <v>12</v>
      </c>
      <c r="U22" s="1">
        <v>0.7968156527056155</v>
      </c>
      <c r="V22" s="1">
        <v>0.78465054929554146</v>
      </c>
      <c r="W22" s="1">
        <v>0.83456491048049963</v>
      </c>
      <c r="X22" s="1">
        <v>0.80997636891482616</v>
      </c>
      <c r="Y22" s="1">
        <v>0.78546049743393365</v>
      </c>
      <c r="Z22" s="1">
        <v>0.83367648069534739</v>
      </c>
      <c r="AA22" s="1">
        <v>0.80326839432278718</v>
      </c>
      <c r="AB22" s="1">
        <v>0.79747313668136621</v>
      </c>
      <c r="AC22" s="1">
        <v>0.80418080687103566</v>
      </c>
      <c r="AD22" s="1">
        <v>0.79085607025932492</v>
      </c>
      <c r="AG22" s="2">
        <f t="shared" si="29"/>
        <v>0.80409228676602762</v>
      </c>
      <c r="AI22" s="1">
        <f t="shared" si="30"/>
        <v>1.7751992351044243E-2</v>
      </c>
      <c r="AK22" s="1" t="s">
        <v>12</v>
      </c>
      <c r="AL22" s="1">
        <v>0.92542853835979721</v>
      </c>
      <c r="AM22" s="1">
        <v>0.92714866723885803</v>
      </c>
      <c r="AN22" s="1">
        <v>0.92548214754381664</v>
      </c>
      <c r="AO22" s="1">
        <v>0.94308673204817828</v>
      </c>
      <c r="AP22" s="1">
        <v>0.90078226872656297</v>
      </c>
      <c r="AQ22" s="1">
        <v>0.92564303101266254</v>
      </c>
      <c r="AR22" s="1">
        <v>0.94232128382370151</v>
      </c>
      <c r="AS22" s="1">
        <v>0.92569667748354201</v>
      </c>
      <c r="AT22" s="1">
        <v>0.90933372973735371</v>
      </c>
      <c r="AU22" s="1">
        <v>0.90943922700898161</v>
      </c>
      <c r="AX22" s="2">
        <f>AVERAGE(AL22:AU22)</f>
        <v>0.92343623029834521</v>
      </c>
      <c r="AZ22" s="1">
        <f>_xlfn.STDEV.S(AL22:AU22)</f>
        <v>1.3673587318545016E-2</v>
      </c>
      <c r="BB22" s="1">
        <v>0.95238095238095233</v>
      </c>
      <c r="BC22" s="1">
        <v>0.96435405245342598</v>
      </c>
      <c r="BD22" s="1">
        <v>0.97646729187055892</v>
      </c>
      <c r="BE22" s="1">
        <v>0.97619047619047616</v>
      </c>
      <c r="BF22" s="1">
        <v>0.9526510164590819</v>
      </c>
      <c r="BG22" s="1">
        <v>0.96435405245342598</v>
      </c>
      <c r="BH22" s="1">
        <v>0.9526510164590819</v>
      </c>
      <c r="BI22" s="1">
        <v>0.96435405245342598</v>
      </c>
      <c r="BJ22" s="1">
        <v>0.96435405245342598</v>
      </c>
      <c r="BK22" s="1">
        <v>0.96435405245342598</v>
      </c>
      <c r="BN22" s="2">
        <f>AVERAGE(BB22:BK22)</f>
        <v>0.96321110156272804</v>
      </c>
      <c r="BP22" s="1">
        <f>_xlfn.STDEV.S(BB22:BK22)</f>
        <v>8.7625805242114753E-3</v>
      </c>
      <c r="BR22" s="1">
        <v>0.95829116251398039</v>
      </c>
      <c r="BS22" s="1">
        <v>0.98616178198151849</v>
      </c>
      <c r="BT22" s="1">
        <v>0.95829116251398039</v>
      </c>
      <c r="BU22" s="1">
        <v>1</v>
      </c>
      <c r="BV22" s="1">
        <v>0.9588979581361341</v>
      </c>
      <c r="BW22" s="1">
        <v>0.9588979581361341</v>
      </c>
      <c r="BX22" s="1">
        <v>0.9588979581361341</v>
      </c>
      <c r="BY22" s="1">
        <v>0.97217987804878048</v>
      </c>
      <c r="BZ22" s="1">
        <v>0.9588979581361341</v>
      </c>
      <c r="CA22" s="1">
        <v>0.95829116251398039</v>
      </c>
      <c r="CD22" s="2">
        <f>AVERAGE(BR22:CA22)</f>
        <v>0.96688069801167775</v>
      </c>
      <c r="CF22" s="1">
        <f>_xlfn.STDEV.S(BR22:CA22)</f>
        <v>1.4806029463222637E-2</v>
      </c>
      <c r="CK22" s="1">
        <v>0.89155582824172874</v>
      </c>
      <c r="CL22" s="1">
        <v>0.86231101736964078</v>
      </c>
      <c r="CM22" s="1">
        <v>0.83378813065163615</v>
      </c>
      <c r="CN22" s="1">
        <v>0.86189229514082233</v>
      </c>
      <c r="CO22" s="1">
        <v>0.89155582824172874</v>
      </c>
      <c r="CP22" s="1">
        <v>0.86189229514082233</v>
      </c>
      <c r="CQ22" s="1">
        <v>0.89155582824172874</v>
      </c>
      <c r="CR22" s="1">
        <v>0.89155582824172874</v>
      </c>
      <c r="CS22" s="1">
        <v>0.86231101736964078</v>
      </c>
      <c r="CT22" s="1">
        <v>0.86453268436892283</v>
      </c>
      <c r="CW22" s="2">
        <f>AVERAGE(CK22:CT22)</f>
        <v>0.87129507530083994</v>
      </c>
      <c r="CY22" s="1">
        <f>_xlfn.STDEV.S(CK22:CT22)</f>
        <v>1.9529875718609441E-2</v>
      </c>
      <c r="DC22" s="1">
        <v>0.81057274624803732</v>
      </c>
      <c r="DD22" s="1">
        <v>0.82307834567006122</v>
      </c>
      <c r="DE22" s="1">
        <v>0.8112022630807455</v>
      </c>
      <c r="DF22" s="1">
        <v>0.81356213768297325</v>
      </c>
      <c r="DG22" s="1">
        <v>0.82059842829017493</v>
      </c>
      <c r="DH22" s="1">
        <v>0.82027662244862087</v>
      </c>
      <c r="DI22" s="1">
        <v>0.83194574556823842</v>
      </c>
      <c r="DJ22" s="1">
        <v>0.82263371533802632</v>
      </c>
      <c r="DK22" s="1">
        <v>0.80671020818428796</v>
      </c>
      <c r="DL22" s="1">
        <v>0.78257784050323209</v>
      </c>
      <c r="DO22" s="2">
        <f>AVERAGE(DC22:DL22)</f>
        <v>0.81431580530143965</v>
      </c>
      <c r="DQ22" s="1">
        <f>_xlfn.STDEV.S(DC22:DL22)</f>
        <v>1.3421390041179267E-2</v>
      </c>
    </row>
    <row r="23" spans="1:121" x14ac:dyDescent="0.3">
      <c r="AG23" s="2"/>
    </row>
    <row r="24" spans="1:121" x14ac:dyDescent="0.3">
      <c r="AG24" s="2"/>
      <c r="DB24" s="10"/>
    </row>
    <row r="25" spans="1:121" x14ac:dyDescent="0.3">
      <c r="J25" s="4"/>
      <c r="K25" s="4"/>
      <c r="L25" s="4"/>
      <c r="AG25" s="2"/>
      <c r="DB25" s="10"/>
    </row>
    <row r="26" spans="1:121" x14ac:dyDescent="0.3">
      <c r="A26" s="1" t="s">
        <v>14</v>
      </c>
      <c r="B26" s="1" t="s">
        <v>8</v>
      </c>
      <c r="C26" s="2">
        <v>0.98599999999999999</v>
      </c>
      <c r="D26" s="2">
        <v>0.99529999999999996</v>
      </c>
      <c r="E26" s="2">
        <v>0.98140000000000005</v>
      </c>
      <c r="F26" s="2">
        <v>0.98599999999999999</v>
      </c>
      <c r="G26" s="2">
        <v>0.98140000000000005</v>
      </c>
      <c r="H26" s="2">
        <v>0.98599999999999999</v>
      </c>
      <c r="I26" s="2">
        <v>0.98599999999999999</v>
      </c>
      <c r="J26" s="2">
        <v>0.98599999999999999</v>
      </c>
      <c r="K26" s="2">
        <v>0.99529999999999996</v>
      </c>
      <c r="L26" s="2">
        <v>0.98599999999999999</v>
      </c>
      <c r="O26" s="2">
        <f>AVERAGE(C26:M26)</f>
        <v>0.98693999999999993</v>
      </c>
      <c r="Q26" s="1">
        <f>_xlfn.STDEV.S(C26:M26)</f>
        <v>4.7896184028003936E-3</v>
      </c>
      <c r="T26" s="1" t="s">
        <v>8</v>
      </c>
      <c r="U26" s="2">
        <v>0.84440000000000004</v>
      </c>
      <c r="V26" s="2">
        <v>0.81669999999999998</v>
      </c>
      <c r="W26" s="2">
        <v>0.85560000000000003</v>
      </c>
      <c r="X26" s="2">
        <v>0.82779999999999998</v>
      </c>
      <c r="Y26" s="2">
        <v>0.83330000000000004</v>
      </c>
      <c r="Z26" s="2">
        <v>0.81669999999999998</v>
      </c>
      <c r="AA26" s="5">
        <v>0.85</v>
      </c>
      <c r="AB26" s="2">
        <v>0.85560000000000003</v>
      </c>
      <c r="AC26" s="5">
        <v>0.85</v>
      </c>
      <c r="AD26" s="2">
        <v>0.84440000000000004</v>
      </c>
      <c r="AG26" s="2">
        <f>AVERAGE(U26:AD26)</f>
        <v>0.83944999999999992</v>
      </c>
      <c r="AI26" s="1">
        <f>_xlfn.STDEV.S(U26:AD26)</f>
        <v>1.4914292176000557E-2</v>
      </c>
      <c r="AK26" s="1" t="s">
        <v>8</v>
      </c>
      <c r="AL26" s="1">
        <v>95.14</v>
      </c>
      <c r="AM26" s="1">
        <v>95.14</v>
      </c>
      <c r="AN26" s="1">
        <v>96.53</v>
      </c>
      <c r="AO26" s="1">
        <v>94.44</v>
      </c>
      <c r="AP26" s="1">
        <v>95.83</v>
      </c>
      <c r="AQ26" s="1">
        <v>95.83</v>
      </c>
      <c r="AR26" s="1">
        <v>95.14</v>
      </c>
      <c r="AS26" s="1">
        <v>96.53</v>
      </c>
      <c r="AT26" s="1">
        <v>95.83</v>
      </c>
      <c r="AU26" s="1">
        <v>95.14</v>
      </c>
      <c r="AX26" s="1">
        <f>AVERAGE(AL26:AU26)</f>
        <v>95.554999999999993</v>
      </c>
      <c r="AZ26" s="1">
        <f>_xlfn.STDEV.S(AL26:AU26)</f>
        <v>0.67166873448813247</v>
      </c>
      <c r="BB26" s="2">
        <v>0.98809999999999998</v>
      </c>
      <c r="BC26" s="2">
        <v>0.99399999999999999</v>
      </c>
      <c r="BD26" s="2">
        <v>0.98209999999999997</v>
      </c>
      <c r="BE26" s="2">
        <v>0.98809999999999998</v>
      </c>
      <c r="BF26" s="2">
        <v>0.98809999999999998</v>
      </c>
      <c r="BG26" s="2">
        <v>0.98209999999999997</v>
      </c>
      <c r="BH26" s="2">
        <v>0.98809999999999998</v>
      </c>
      <c r="BI26" s="2">
        <v>0.98809999999999998</v>
      </c>
      <c r="BJ26" s="2">
        <v>0.98809999999999998</v>
      </c>
      <c r="BK26" s="2">
        <v>0.98809999999999998</v>
      </c>
      <c r="BN26" s="2">
        <f>AVERAGE(BB26:BK26)</f>
        <v>0.98748999999999998</v>
      </c>
      <c r="BP26" s="1">
        <f>_xlfn.STDEV.S(BB26:BK26)</f>
        <v>3.3844251112018077E-3</v>
      </c>
      <c r="BR26" s="1">
        <v>98.63</v>
      </c>
      <c r="BS26" s="1">
        <v>99.32</v>
      </c>
      <c r="BT26" s="1">
        <v>99.32</v>
      </c>
      <c r="BU26" s="1">
        <v>99.32</v>
      </c>
      <c r="BV26" s="1">
        <v>98.63</v>
      </c>
      <c r="BW26" s="1">
        <v>98.63</v>
      </c>
      <c r="BX26" s="1">
        <v>98.63</v>
      </c>
      <c r="BY26" s="1">
        <v>98.63</v>
      </c>
      <c r="BZ26" s="1">
        <v>99.32</v>
      </c>
      <c r="CA26" s="1">
        <v>98.63</v>
      </c>
      <c r="CD26" s="1">
        <f>AVERAGE(BR26:CA26)</f>
        <v>98.905999999999977</v>
      </c>
      <c r="CF26" s="1">
        <f>_xlfn.STDEV.S(BR26:CA26)</f>
        <v>0.35631446785108112</v>
      </c>
      <c r="CK26" s="2">
        <v>0.97729999999999995</v>
      </c>
      <c r="CL26" s="2">
        <v>0.96589999999999998</v>
      </c>
      <c r="CM26" s="2">
        <v>0.98860000000000003</v>
      </c>
      <c r="CN26" s="2">
        <v>0.97729999999999995</v>
      </c>
      <c r="CO26" s="2">
        <v>0.97729999999999995</v>
      </c>
      <c r="CP26" s="2">
        <v>0.97729999999999995</v>
      </c>
      <c r="CQ26" s="2">
        <v>0.97729999999999995</v>
      </c>
      <c r="CR26" s="2">
        <v>0.98629999999999995</v>
      </c>
      <c r="CS26" s="2">
        <v>0.97729999999999995</v>
      </c>
      <c r="CT26" s="2">
        <v>0.96589999999999998</v>
      </c>
      <c r="CW26" s="2">
        <f>AVERAGE(CK26:CT26)</f>
        <v>0.97704999999999986</v>
      </c>
      <c r="CY26" s="1">
        <f>_xlfn.STDEV.S(CK26:CT26)</f>
        <v>7.2109869874611076E-3</v>
      </c>
      <c r="DC26" s="5">
        <v>0.88</v>
      </c>
      <c r="DD26" s="2">
        <v>0.88249999999999995</v>
      </c>
      <c r="DE26" s="5">
        <v>0.87</v>
      </c>
      <c r="DF26" s="2">
        <v>0.87250000000000005</v>
      </c>
      <c r="DG26" s="2">
        <v>0.87749999999999995</v>
      </c>
      <c r="DH26" s="2">
        <v>0.88249999999999995</v>
      </c>
      <c r="DI26" s="2">
        <v>0.86499999999999999</v>
      </c>
      <c r="DJ26" s="2">
        <v>0.88249999999999995</v>
      </c>
      <c r="DK26" s="2">
        <v>0.87749999999999995</v>
      </c>
      <c r="DL26" s="2">
        <v>0.88249999999999995</v>
      </c>
      <c r="DO26" s="2">
        <f>AVERAGE(DC26:DL26)</f>
        <v>0.87725000000000009</v>
      </c>
      <c r="DQ26" s="1">
        <f>_xlfn.STDEV.S(DC26:DL26)</f>
        <v>6.1745445176142142E-3</v>
      </c>
    </row>
    <row r="27" spans="1:121" x14ac:dyDescent="0.3">
      <c r="B27" s="1" t="s">
        <v>9</v>
      </c>
      <c r="C27" s="1">
        <v>0.98599999999999999</v>
      </c>
      <c r="D27" s="1">
        <v>0.99529999999999996</v>
      </c>
      <c r="E27" s="1">
        <v>0.98140000000000005</v>
      </c>
      <c r="F27" s="1">
        <v>0.98599999999999999</v>
      </c>
      <c r="G27" s="1">
        <v>0.98140000000000005</v>
      </c>
      <c r="H27" s="1">
        <v>0.98599999999999999</v>
      </c>
      <c r="I27" s="1">
        <v>0.98599999999999999</v>
      </c>
      <c r="J27" s="1">
        <v>0.98599999999999999</v>
      </c>
      <c r="K27" s="1">
        <v>0.99529999999999996</v>
      </c>
      <c r="L27" s="1">
        <v>0.98599999999999999</v>
      </c>
      <c r="O27" s="2">
        <f>AVERAGE(C27:M27)</f>
        <v>0.98693999999999993</v>
      </c>
      <c r="Q27" s="1">
        <f>_xlfn.STDEV.S(C27:M27)</f>
        <v>4.7896184028003936E-3</v>
      </c>
      <c r="T27" s="1" t="s">
        <v>9</v>
      </c>
      <c r="U27" s="1">
        <v>0.84440000000000004</v>
      </c>
      <c r="V27" s="1">
        <v>0.81669999999999998</v>
      </c>
      <c r="W27" s="1">
        <v>0.85560000000000003</v>
      </c>
      <c r="X27" s="1">
        <v>0.82779999999999998</v>
      </c>
      <c r="Y27" s="1">
        <v>0.83330000000000004</v>
      </c>
      <c r="Z27" s="1">
        <v>0.81669999999999998</v>
      </c>
      <c r="AA27" s="1">
        <v>0.85</v>
      </c>
      <c r="AB27" s="1">
        <v>0.85560000000000003</v>
      </c>
      <c r="AC27" s="1">
        <v>0.85</v>
      </c>
      <c r="AD27" s="1">
        <v>0.84440000000000004</v>
      </c>
      <c r="AG27" s="2">
        <f t="shared" ref="AG27:AG30" si="41">AVERAGE(U27:AD27)</f>
        <v>0.83944999999999992</v>
      </c>
      <c r="AI27" s="1">
        <f t="shared" ref="AI27:AI30" si="42">_xlfn.STDEV.S(U27:AD27)</f>
        <v>1.4914292176000557E-2</v>
      </c>
      <c r="AK27" s="1" t="s">
        <v>9</v>
      </c>
      <c r="AL27" s="1">
        <v>0.95140000000000002</v>
      </c>
      <c r="AM27" s="1">
        <v>0.95140000000000002</v>
      </c>
      <c r="AN27" s="1">
        <v>0.96530000000000005</v>
      </c>
      <c r="AO27" s="1">
        <v>0.94440000000000002</v>
      </c>
      <c r="AP27" s="1">
        <v>0.95830000000000004</v>
      </c>
      <c r="AQ27" s="1">
        <v>0.95830000000000004</v>
      </c>
      <c r="AR27" s="1">
        <v>0.95140000000000002</v>
      </c>
      <c r="AS27" s="1">
        <v>0.96530000000000005</v>
      </c>
      <c r="AT27" s="1">
        <v>0.95830000000000004</v>
      </c>
      <c r="AU27" s="1">
        <v>0.95140000000000002</v>
      </c>
      <c r="AX27" s="2">
        <f t="shared" ref="AX27:AX29" si="43">AVERAGE(AL27:AU27)</f>
        <v>0.95555000000000001</v>
      </c>
      <c r="AZ27" s="1">
        <f t="shared" ref="AZ27:AZ29" si="44">_xlfn.STDEV.S(AL27:AU27)</f>
        <v>6.7166873448813325E-3</v>
      </c>
      <c r="BB27" s="1">
        <v>0.98809999999999998</v>
      </c>
      <c r="BC27" s="1">
        <v>0.99399999999999999</v>
      </c>
      <c r="BD27" s="1">
        <v>0.98209999999999997</v>
      </c>
      <c r="BE27" s="1">
        <v>0.98809999999999998</v>
      </c>
      <c r="BF27" s="1">
        <v>0.98809999999999998</v>
      </c>
      <c r="BG27" s="1">
        <v>0.98209999999999997</v>
      </c>
      <c r="BH27" s="1">
        <v>0.98809999999999998</v>
      </c>
      <c r="BI27" s="1">
        <v>0.98809999999999998</v>
      </c>
      <c r="BJ27" s="1">
        <v>0.98809999999999998</v>
      </c>
      <c r="BK27" s="1">
        <v>0.98809999999999998</v>
      </c>
      <c r="BN27" s="2">
        <f t="shared" ref="BN27:BN29" si="45">AVERAGE(BB27:BK27)</f>
        <v>0.98748999999999998</v>
      </c>
      <c r="BP27" s="1">
        <f t="shared" ref="BP27:BP29" si="46">_xlfn.STDEV.S(BB27:BK27)</f>
        <v>3.3844251112018077E-3</v>
      </c>
      <c r="BR27" s="1">
        <v>0.98609999999999998</v>
      </c>
      <c r="BS27" s="1">
        <v>0.99390000000000001</v>
      </c>
      <c r="BT27" s="1">
        <v>0.99390000000000001</v>
      </c>
      <c r="BU27" s="1">
        <v>0.99390000000000001</v>
      </c>
      <c r="BV27" s="1">
        <v>0.98780000000000001</v>
      </c>
      <c r="BW27" s="1">
        <v>0.98609999999999998</v>
      </c>
      <c r="BX27" s="1">
        <v>0.98609999999999998</v>
      </c>
      <c r="BY27" s="1">
        <v>0.98609999999999998</v>
      </c>
      <c r="BZ27" s="1">
        <v>0.99390000000000001</v>
      </c>
      <c r="CA27" s="1">
        <v>0.98609999999999998</v>
      </c>
      <c r="CC27" s="2"/>
      <c r="CD27" s="2">
        <f t="shared" ref="CD27:CD29" si="47">AVERAGE(BR27:CA27)</f>
        <v>0.98939000000000021</v>
      </c>
      <c r="CF27" s="1">
        <f t="shared" ref="CF27:CF29" si="48">_xlfn.STDEV.S(BR27:CA27)</f>
        <v>3.9159077278880612E-3</v>
      </c>
      <c r="CK27" s="1">
        <v>0.96150000000000002</v>
      </c>
      <c r="CL27" s="1">
        <v>0.96460000000000001</v>
      </c>
      <c r="CM27" s="1">
        <v>0.98080000000000001</v>
      </c>
      <c r="CN27" s="1">
        <v>0.96150000000000002</v>
      </c>
      <c r="CO27" s="1">
        <v>0.96150000000000002</v>
      </c>
      <c r="CP27" s="1">
        <v>0.96150000000000002</v>
      </c>
      <c r="CQ27" s="1">
        <v>0.97270000000000001</v>
      </c>
      <c r="CR27" s="1">
        <v>0.98609999999999998</v>
      </c>
      <c r="CS27" s="1">
        <v>0.97270000000000001</v>
      </c>
      <c r="CT27" s="1">
        <v>0.96460000000000001</v>
      </c>
      <c r="CW27" s="2">
        <f t="shared" ref="CW27:CW29" si="49">AVERAGE(CK27:CT27)</f>
        <v>0.96875</v>
      </c>
      <c r="CY27" s="1">
        <f t="shared" ref="CY27:CY29" si="50">_xlfn.STDEV.S(CK27:CT27)</f>
        <v>8.9574611978568402E-3</v>
      </c>
      <c r="DC27" s="1">
        <v>0.88</v>
      </c>
      <c r="DD27" s="1">
        <v>0.88249999999999995</v>
      </c>
      <c r="DE27" s="1">
        <v>0.87</v>
      </c>
      <c r="DF27" s="1">
        <v>0.87250000000000005</v>
      </c>
      <c r="DG27" s="1">
        <v>0.87749999999999995</v>
      </c>
      <c r="DH27" s="1">
        <v>0.88249999999999995</v>
      </c>
      <c r="DI27" s="1">
        <v>0.86499999999999999</v>
      </c>
      <c r="DJ27" s="1">
        <v>0.88249999999999995</v>
      </c>
      <c r="DK27" s="1">
        <v>0.87749999999999995</v>
      </c>
      <c r="DL27" s="1">
        <v>0.88249999999999995</v>
      </c>
      <c r="DO27" s="2">
        <f t="shared" ref="DO27:DO29" si="51">AVERAGE(DC27:DL27)</f>
        <v>0.87725000000000009</v>
      </c>
      <c r="DQ27" s="1">
        <f t="shared" ref="DQ27:DQ29" si="52">_xlfn.STDEV.S(DC27:DL27)</f>
        <v>6.1745445176142142E-3</v>
      </c>
    </row>
    <row r="28" spans="1:121" x14ac:dyDescent="0.3">
      <c r="B28" s="1" t="s">
        <v>10</v>
      </c>
      <c r="C28" s="1">
        <v>0.98599999999999999</v>
      </c>
      <c r="D28" s="1">
        <v>0.99529999999999996</v>
      </c>
      <c r="E28" s="1">
        <v>0.98140000000000005</v>
      </c>
      <c r="F28" s="1">
        <v>0.98599999999999999</v>
      </c>
      <c r="G28" s="1">
        <v>0.98129999999999995</v>
      </c>
      <c r="H28" s="1">
        <v>0.98599999999999999</v>
      </c>
      <c r="I28" s="1">
        <v>0.98599999999999999</v>
      </c>
      <c r="J28" s="1">
        <v>0.98599999999999999</v>
      </c>
      <c r="K28" s="1">
        <v>0.99529999999999996</v>
      </c>
      <c r="L28" s="1">
        <v>0.98599999999999999</v>
      </c>
      <c r="O28" s="2">
        <f>AVERAGE(C28:M28)</f>
        <v>0.98692999999999986</v>
      </c>
      <c r="Q28" s="1">
        <f>_xlfn.STDEV.S(C28:M28)</f>
        <v>4.8025571892019595E-3</v>
      </c>
      <c r="T28" s="1" t="s">
        <v>10</v>
      </c>
      <c r="U28" s="1">
        <v>0.84799999999999998</v>
      </c>
      <c r="V28" s="1">
        <v>0.81710000000000005</v>
      </c>
      <c r="W28" s="1">
        <v>0.85499999999999998</v>
      </c>
      <c r="X28" s="1">
        <v>0.83069999999999999</v>
      </c>
      <c r="Y28" s="1">
        <v>0.83079999999999998</v>
      </c>
      <c r="Z28" s="1">
        <v>0.82120000000000004</v>
      </c>
      <c r="AA28" s="1">
        <v>0.85489999999999999</v>
      </c>
      <c r="AB28" s="1">
        <v>0.85499999999999998</v>
      </c>
      <c r="AC28" s="1">
        <v>0.85489999999999999</v>
      </c>
      <c r="AD28" s="1">
        <v>0.84799999999999998</v>
      </c>
      <c r="AG28" s="2">
        <f t="shared" si="41"/>
        <v>0.84155999999999997</v>
      </c>
      <c r="AI28" s="1">
        <f t="shared" si="42"/>
        <v>1.508002357793616E-2</v>
      </c>
      <c r="AK28" s="1" t="s">
        <v>10</v>
      </c>
      <c r="AL28" s="1">
        <v>0.95130000000000003</v>
      </c>
      <c r="AM28" s="1">
        <v>0.95140000000000002</v>
      </c>
      <c r="AN28" s="1">
        <v>0.96589999999999998</v>
      </c>
      <c r="AO28" s="1">
        <v>0.94440000000000002</v>
      </c>
      <c r="AP28" s="1">
        <v>0.9587</v>
      </c>
      <c r="AQ28" s="1">
        <v>0.9587</v>
      </c>
      <c r="AR28" s="1">
        <v>0.95140000000000002</v>
      </c>
      <c r="AS28" s="1">
        <v>0.96589999999999998</v>
      </c>
      <c r="AT28" s="1">
        <v>0.9587</v>
      </c>
      <c r="AU28" s="1">
        <v>0.95140000000000002</v>
      </c>
      <c r="AX28" s="2">
        <f t="shared" si="43"/>
        <v>0.95578000000000007</v>
      </c>
      <c r="AZ28" s="1">
        <f t="shared" si="44"/>
        <v>6.9724537367494149E-3</v>
      </c>
      <c r="BB28" s="1">
        <v>0.98809999999999998</v>
      </c>
      <c r="BC28" s="1">
        <v>0.99399999999999999</v>
      </c>
      <c r="BD28" s="1">
        <v>0.98209999999999997</v>
      </c>
      <c r="BE28" s="1">
        <v>0.98809999999999998</v>
      </c>
      <c r="BF28" s="1">
        <v>0.98809999999999998</v>
      </c>
      <c r="BG28" s="1">
        <v>0.98209999999999997</v>
      </c>
      <c r="BH28" s="1">
        <v>0.98809999999999998</v>
      </c>
      <c r="BI28" s="1">
        <v>0.98809999999999998</v>
      </c>
      <c r="BJ28" s="1">
        <v>0.98809999999999998</v>
      </c>
      <c r="BK28" s="1">
        <v>0.98809999999999998</v>
      </c>
      <c r="BN28" s="2">
        <f t="shared" si="45"/>
        <v>0.98748999999999998</v>
      </c>
      <c r="BP28" s="1">
        <f t="shared" si="46"/>
        <v>3.3844251112018077E-3</v>
      </c>
      <c r="BR28" s="1">
        <v>0.98609999999999998</v>
      </c>
      <c r="BS28" s="1">
        <v>0.99309999999999998</v>
      </c>
      <c r="BT28" s="1">
        <v>0.99309999999999998</v>
      </c>
      <c r="BU28" s="1">
        <v>0.99309999999999998</v>
      </c>
      <c r="BV28" s="1">
        <v>0.98609999999999998</v>
      </c>
      <c r="BW28" s="1">
        <v>0.98609999999999998</v>
      </c>
      <c r="BX28" s="1">
        <v>0.98609999999999998</v>
      </c>
      <c r="BY28" s="1">
        <v>0.98609999999999998</v>
      </c>
      <c r="BZ28" s="1">
        <v>0.99309999999999998</v>
      </c>
      <c r="CA28" s="1">
        <v>0.98609999999999998</v>
      </c>
      <c r="CC28" s="2"/>
      <c r="CD28" s="2">
        <f t="shared" si="47"/>
        <v>0.98890000000000011</v>
      </c>
      <c r="CF28" s="1">
        <f t="shared" si="48"/>
        <v>3.6147844564602596E-3</v>
      </c>
      <c r="CK28" s="1">
        <v>0.97209999999999996</v>
      </c>
      <c r="CL28" s="1">
        <v>0.95950000000000002</v>
      </c>
      <c r="CM28" s="1">
        <v>0.98619999999999997</v>
      </c>
      <c r="CN28" s="1">
        <v>0.97209999999999996</v>
      </c>
      <c r="CO28" s="1">
        <v>0.97209999999999996</v>
      </c>
      <c r="CP28" s="1">
        <v>0.97209999999999996</v>
      </c>
      <c r="CQ28" s="1">
        <v>0.97270000000000001</v>
      </c>
      <c r="CR28" s="1">
        <v>0.98609999999999998</v>
      </c>
      <c r="CS28" s="1">
        <v>0.97270000000000001</v>
      </c>
      <c r="CT28" s="1">
        <v>0.95950000000000002</v>
      </c>
      <c r="CW28" s="2">
        <f t="shared" si="49"/>
        <v>0.97250999999999999</v>
      </c>
      <c r="CY28" s="1">
        <f t="shared" si="50"/>
        <v>8.8905005483380824E-3</v>
      </c>
      <c r="DC28" s="1">
        <v>0.87919999999999998</v>
      </c>
      <c r="DD28" s="1">
        <v>0.88109999999999999</v>
      </c>
      <c r="DE28" s="1">
        <v>0.86860000000000004</v>
      </c>
      <c r="DF28" s="1">
        <v>0.87109999999999999</v>
      </c>
      <c r="DG28" s="1">
        <v>0.876</v>
      </c>
      <c r="DH28" s="1">
        <v>0.88160000000000005</v>
      </c>
      <c r="DI28" s="1">
        <v>0.86429999999999996</v>
      </c>
      <c r="DJ28" s="1">
        <v>0.88109999999999999</v>
      </c>
      <c r="DK28" s="1">
        <v>0.876</v>
      </c>
      <c r="DL28" s="1">
        <v>0.88160000000000005</v>
      </c>
      <c r="DO28" s="2">
        <f t="shared" si="51"/>
        <v>0.87606000000000006</v>
      </c>
      <c r="DQ28" s="1">
        <f t="shared" si="52"/>
        <v>6.1518199655784013E-3</v>
      </c>
    </row>
    <row r="29" spans="1:121" x14ac:dyDescent="0.3">
      <c r="B29" s="1" t="s">
        <v>11</v>
      </c>
      <c r="C29" s="1">
        <v>0.99980000000000002</v>
      </c>
      <c r="D29" s="1">
        <v>0.99990000000000001</v>
      </c>
      <c r="E29" s="1">
        <v>0.99970000000000003</v>
      </c>
      <c r="F29" s="1">
        <v>0.99960000000000004</v>
      </c>
      <c r="G29" s="1">
        <v>0.99950000000000006</v>
      </c>
      <c r="H29" s="1">
        <v>0.99960000000000004</v>
      </c>
      <c r="I29" s="1">
        <v>0.99939999999999996</v>
      </c>
      <c r="J29" s="1">
        <v>0.99980000000000002</v>
      </c>
      <c r="K29" s="1">
        <v>0.99990000000000001</v>
      </c>
      <c r="L29" s="1">
        <v>0.99960000000000004</v>
      </c>
      <c r="O29" s="2">
        <f>AVERAGE(C29:M29)</f>
        <v>0.99968000000000001</v>
      </c>
      <c r="Q29" s="1">
        <f>_xlfn.STDEV.S(C29:M29)</f>
        <v>1.6865480854231547E-4</v>
      </c>
      <c r="T29" s="1" t="s">
        <v>11</v>
      </c>
      <c r="U29" s="1">
        <v>0.98350000000000004</v>
      </c>
      <c r="V29" s="1">
        <v>0.98180000000000001</v>
      </c>
      <c r="W29" s="1">
        <v>0.97929999999999995</v>
      </c>
      <c r="X29" s="1">
        <v>0.97650000000000003</v>
      </c>
      <c r="Y29" s="1">
        <v>0.97809999999999997</v>
      </c>
      <c r="Z29" s="1">
        <v>0.97799999999999998</v>
      </c>
      <c r="AA29" s="1">
        <v>0.97119999999999995</v>
      </c>
      <c r="AB29" s="1">
        <v>0.97929999999999995</v>
      </c>
      <c r="AC29" s="1">
        <v>0.97119999999999995</v>
      </c>
      <c r="AD29" s="1">
        <v>0.98350000000000004</v>
      </c>
      <c r="AG29" s="2">
        <f t="shared" si="41"/>
        <v>0.97823999999999989</v>
      </c>
      <c r="AI29" s="1">
        <f t="shared" si="42"/>
        <v>4.377772137616245E-3</v>
      </c>
      <c r="AK29" s="1" t="s">
        <v>11</v>
      </c>
      <c r="AL29" s="1">
        <v>0.99739999999999995</v>
      </c>
      <c r="AM29" s="1">
        <v>0.99629999999999996</v>
      </c>
      <c r="AN29" s="1">
        <v>0.99839999999999995</v>
      </c>
      <c r="AO29" s="1">
        <v>0.99350000000000005</v>
      </c>
      <c r="AP29" s="1">
        <v>0.99550000000000005</v>
      </c>
      <c r="AQ29" s="1">
        <v>0.99350000000000005</v>
      </c>
      <c r="AR29" s="1">
        <v>0.99829999999999997</v>
      </c>
      <c r="AS29" s="1">
        <v>0.99839999999999995</v>
      </c>
      <c r="AT29" s="1">
        <v>0.99350000000000005</v>
      </c>
      <c r="AU29" s="1">
        <v>0.99629999999999996</v>
      </c>
      <c r="AX29" s="2">
        <f t="shared" si="43"/>
        <v>0.99611000000000005</v>
      </c>
      <c r="AZ29" s="1">
        <f t="shared" si="44"/>
        <v>2.0501761441939687E-3</v>
      </c>
      <c r="BB29" s="1">
        <v>0.99939999999999996</v>
      </c>
      <c r="BC29" s="1">
        <v>1</v>
      </c>
      <c r="BD29" s="1">
        <v>0.99990000000000001</v>
      </c>
      <c r="BE29" s="1">
        <v>0.99970000000000003</v>
      </c>
      <c r="BF29" s="1">
        <v>0.99960000000000004</v>
      </c>
      <c r="BG29" s="1">
        <v>0.99960000000000004</v>
      </c>
      <c r="BH29" s="1">
        <v>0.99990000000000001</v>
      </c>
      <c r="BI29" s="1">
        <v>0.99939999999999996</v>
      </c>
      <c r="BJ29" s="1">
        <v>1</v>
      </c>
      <c r="BK29" s="1">
        <v>0.99909999999999999</v>
      </c>
      <c r="BN29" s="2">
        <f t="shared" si="45"/>
        <v>0.99965999999999988</v>
      </c>
      <c r="BP29" s="1">
        <f t="shared" si="46"/>
        <v>2.9888682361947692E-4</v>
      </c>
      <c r="BR29" s="1">
        <v>0.99980000000000002</v>
      </c>
      <c r="BS29" s="1">
        <v>0.99890000000000001</v>
      </c>
      <c r="BT29" s="1">
        <v>0.99809999999999999</v>
      </c>
      <c r="BU29" s="1">
        <v>0.99980000000000002</v>
      </c>
      <c r="BV29" s="1">
        <v>0.99890000000000001</v>
      </c>
      <c r="BW29" s="1">
        <v>0.99809999999999999</v>
      </c>
      <c r="BX29" s="1">
        <v>0.99980000000000002</v>
      </c>
      <c r="BY29" s="1">
        <v>0.99980000000000002</v>
      </c>
      <c r="BZ29" s="1">
        <v>0.99890000000000001</v>
      </c>
      <c r="CA29" s="1">
        <v>0.99809999999999999</v>
      </c>
      <c r="CC29" s="2"/>
      <c r="CD29" s="2">
        <f t="shared" si="47"/>
        <v>0.99902000000000013</v>
      </c>
      <c r="CF29" s="1">
        <f t="shared" si="48"/>
        <v>7.4654760955571717E-4</v>
      </c>
      <c r="CK29" s="1">
        <v>0.99809999999999999</v>
      </c>
      <c r="CL29" s="1">
        <v>0.99629999999999996</v>
      </c>
      <c r="CM29" s="1">
        <v>0.99570000000000003</v>
      </c>
      <c r="CN29" s="1">
        <v>0.99570000000000003</v>
      </c>
      <c r="CO29" s="1">
        <v>0.99750000000000005</v>
      </c>
      <c r="CP29" s="1">
        <v>0.99570000000000003</v>
      </c>
      <c r="CQ29" s="1">
        <v>0.99809999999999999</v>
      </c>
      <c r="CR29" s="1">
        <v>0.99439999999999995</v>
      </c>
      <c r="CS29" s="1">
        <v>0.99750000000000005</v>
      </c>
      <c r="CT29" s="1">
        <v>0.99629999999999996</v>
      </c>
      <c r="CW29" s="2">
        <f t="shared" si="49"/>
        <v>0.99652999999999992</v>
      </c>
      <c r="CY29" s="1">
        <f t="shared" si="50"/>
        <v>1.2256970805763381E-3</v>
      </c>
      <c r="DC29" s="1">
        <v>0.97819999999999996</v>
      </c>
      <c r="DD29" s="1">
        <v>0.97799999999999998</v>
      </c>
      <c r="DE29" s="1">
        <v>0.97699999999999998</v>
      </c>
      <c r="DF29" s="1">
        <v>0.97950000000000004</v>
      </c>
      <c r="DG29" s="1">
        <v>0.97729999999999995</v>
      </c>
      <c r="DH29" s="1">
        <v>0.97940000000000005</v>
      </c>
      <c r="DI29" s="1">
        <v>0.97699999999999998</v>
      </c>
      <c r="DJ29" s="1">
        <v>0.97799999999999998</v>
      </c>
      <c r="DK29" s="1">
        <v>0.97729999999999995</v>
      </c>
      <c r="DL29" s="1">
        <v>0.97940000000000005</v>
      </c>
      <c r="DO29" s="2">
        <f t="shared" si="51"/>
        <v>0.97811000000000003</v>
      </c>
      <c r="DQ29" s="1">
        <f t="shared" si="52"/>
        <v>1.0038260141412632E-3</v>
      </c>
    </row>
    <row r="30" spans="1:121" x14ac:dyDescent="0.3">
      <c r="B30" s="1" t="s">
        <v>12</v>
      </c>
      <c r="C30" s="1">
        <v>0.98280000000000001</v>
      </c>
      <c r="D30" s="1">
        <v>0.99419999999999997</v>
      </c>
      <c r="E30" s="1">
        <v>0.97689999999999999</v>
      </c>
      <c r="F30" s="1">
        <v>0.98260000000000003</v>
      </c>
      <c r="G30" s="1">
        <v>0.9768</v>
      </c>
      <c r="H30" s="1">
        <v>0.98260000000000003</v>
      </c>
      <c r="I30" s="1">
        <v>0.98260000000000003</v>
      </c>
      <c r="J30" s="1">
        <v>0.98280000000000001</v>
      </c>
      <c r="K30" s="1">
        <v>0.99419999999999997</v>
      </c>
      <c r="L30" s="1">
        <v>0.98260000000000003</v>
      </c>
      <c r="O30" s="2">
        <f>AVERAGE(C30:M30)</f>
        <v>0.98380999999999985</v>
      </c>
      <c r="Q30" s="1">
        <f>_xlfn.STDEV.S(C30:M30)</f>
        <v>5.969263866768746E-3</v>
      </c>
      <c r="T30" s="1" t="s">
        <v>12</v>
      </c>
      <c r="U30" s="1">
        <v>0.82789999999999997</v>
      </c>
      <c r="V30" s="1">
        <v>0.79830000000000001</v>
      </c>
      <c r="W30" s="1">
        <v>0.84009999999999996</v>
      </c>
      <c r="X30" s="1">
        <v>0.80959999999999999</v>
      </c>
      <c r="Y30" s="1">
        <v>0.81579999999999997</v>
      </c>
      <c r="Z30" s="1">
        <v>0.79679999999999995</v>
      </c>
      <c r="AA30" s="1">
        <v>0.83440000000000003</v>
      </c>
      <c r="AB30" s="1">
        <v>0.84009999999999996</v>
      </c>
      <c r="AC30" s="1">
        <v>0.83440000000000003</v>
      </c>
      <c r="AD30" s="1">
        <v>0.82789999999999997</v>
      </c>
      <c r="AG30" s="2">
        <f t="shared" si="41"/>
        <v>0.82253000000000009</v>
      </c>
      <c r="AI30" s="1">
        <f t="shared" si="42"/>
        <v>1.6392684682842867E-2</v>
      </c>
      <c r="AK30" s="1" t="s">
        <v>12</v>
      </c>
      <c r="AL30" s="1">
        <v>0.94220000000000004</v>
      </c>
      <c r="AM30" s="1">
        <v>0.94169999999999998</v>
      </c>
      <c r="AN30" s="1">
        <v>0.9587</v>
      </c>
      <c r="AO30" s="1">
        <v>0.93330000000000002</v>
      </c>
      <c r="AP30" s="1">
        <v>0.95040000000000002</v>
      </c>
      <c r="AQ30" s="1">
        <v>0.95040000000000002</v>
      </c>
      <c r="AR30" s="1">
        <v>0.94169999999999998</v>
      </c>
      <c r="AS30" s="1">
        <v>0.9587</v>
      </c>
      <c r="AT30" s="1">
        <v>0.95040000000000002</v>
      </c>
      <c r="AU30" s="1">
        <v>0.94169999999999998</v>
      </c>
      <c r="AX30" s="2">
        <f>AVERAGE(AL30:AU30)</f>
        <v>0.94692000000000009</v>
      </c>
      <c r="AZ30" s="1">
        <f>_xlfn.STDEV.S(AL30:AU30)</f>
        <v>8.1880400585243839E-3</v>
      </c>
      <c r="BB30" s="1">
        <v>0.97619047619047616</v>
      </c>
      <c r="BC30" s="1">
        <v>0.98816526362511559</v>
      </c>
      <c r="BD30" s="1">
        <v>0.96490128135401532</v>
      </c>
      <c r="BE30" s="1">
        <v>0.97650000000000003</v>
      </c>
      <c r="BF30" s="1">
        <v>0.97619999999999996</v>
      </c>
      <c r="BG30" s="1">
        <v>0.96490128135401532</v>
      </c>
      <c r="BH30" s="1">
        <v>0.97650000000000003</v>
      </c>
      <c r="BI30" s="1">
        <v>0.97619999999999996</v>
      </c>
      <c r="BJ30" s="1">
        <v>0.97650000000000003</v>
      </c>
      <c r="BK30" s="1">
        <v>0.97619999999999996</v>
      </c>
      <c r="BN30" s="2">
        <f>AVERAGE(BB30:BK30)</f>
        <v>0.9752258302523622</v>
      </c>
      <c r="BP30" s="1">
        <f>_xlfn.STDEV.S(BB30:BK30)</f>
        <v>6.5766391571614189E-3</v>
      </c>
      <c r="BR30" s="1">
        <v>0.97219999999999995</v>
      </c>
      <c r="BS30" s="1">
        <v>0.98619999999999997</v>
      </c>
      <c r="BT30" s="1">
        <v>0.98619999999999997</v>
      </c>
      <c r="BU30" s="1">
        <v>0.98619999999999997</v>
      </c>
      <c r="BV30" s="1">
        <v>0.97260000000000002</v>
      </c>
      <c r="BW30" s="1">
        <v>0.97219999999999995</v>
      </c>
      <c r="BX30" s="1">
        <v>0.97219999999999995</v>
      </c>
      <c r="BY30" s="1">
        <v>0.97219999999999995</v>
      </c>
      <c r="BZ30" s="1">
        <v>0.98619999999999997</v>
      </c>
      <c r="CA30" s="1">
        <v>0.97219999999999995</v>
      </c>
      <c r="CC30" s="2"/>
      <c r="CD30" s="2">
        <f>AVERAGE(BR30:CA30)</f>
        <v>0.97783999999999982</v>
      </c>
      <c r="CF30" s="1">
        <f>_xlfn.STDEV.S(BR30:CA30)</f>
        <v>7.1961718218014302E-3</v>
      </c>
      <c r="CK30" s="1">
        <v>0.9456</v>
      </c>
      <c r="CL30" s="1">
        <v>0.9194</v>
      </c>
      <c r="CM30" s="1">
        <v>0.9728</v>
      </c>
      <c r="CN30" s="1">
        <v>0.9456</v>
      </c>
      <c r="CO30" s="1">
        <v>0.9456</v>
      </c>
      <c r="CP30" s="1">
        <v>0.9456</v>
      </c>
      <c r="CQ30" s="1">
        <v>0.94540000000000002</v>
      </c>
      <c r="CR30" s="1">
        <v>0.97219999999999995</v>
      </c>
      <c r="CS30" s="1">
        <v>0.94540000000000002</v>
      </c>
      <c r="CT30" s="1">
        <v>0.9194</v>
      </c>
      <c r="CW30" s="2">
        <f>AVERAGE(CK30:CT30)</f>
        <v>0.94569999999999987</v>
      </c>
      <c r="CY30" s="1">
        <f>_xlfn.STDEV.S(CK30:CT30)</f>
        <v>1.7702040058202952E-2</v>
      </c>
      <c r="DC30" s="1">
        <v>0.85099999999999998</v>
      </c>
      <c r="DD30" s="1">
        <v>0.85350000000000004</v>
      </c>
      <c r="DE30" s="1">
        <v>0.83779999999999999</v>
      </c>
      <c r="DF30" s="1">
        <v>0.84130000000000005</v>
      </c>
      <c r="DG30" s="1">
        <v>0.8478</v>
      </c>
      <c r="DH30" s="1">
        <v>0.85409999999999997</v>
      </c>
      <c r="DI30" s="1">
        <v>0.83209999999999995</v>
      </c>
      <c r="DJ30" s="1">
        <v>0.85350000000000004</v>
      </c>
      <c r="DK30" s="1">
        <v>0.8478</v>
      </c>
      <c r="DL30" s="1">
        <v>0.85409999999999997</v>
      </c>
      <c r="DO30" s="2">
        <f>AVERAGE(DC30:DL30)</f>
        <v>0.84730000000000005</v>
      </c>
      <c r="DQ30" s="1">
        <f>_xlfn.STDEV.S(DC30:DL30)</f>
        <v>7.7519889920802552E-3</v>
      </c>
    </row>
    <row r="31" spans="1:121" x14ac:dyDescent="0.3">
      <c r="J31" s="4"/>
      <c r="K31" s="4"/>
      <c r="L31" s="4"/>
    </row>
    <row r="34" spans="1:121" x14ac:dyDescent="0.3">
      <c r="A34" s="1" t="s">
        <v>15</v>
      </c>
      <c r="B34" s="1" t="s">
        <v>8</v>
      </c>
      <c r="C34" s="2">
        <v>0.96399999999999997</v>
      </c>
      <c r="D34" s="2">
        <v>0.96199999999999997</v>
      </c>
      <c r="E34" s="2">
        <v>0.96199999999999997</v>
      </c>
      <c r="F34" s="2">
        <v>0.97</v>
      </c>
      <c r="G34" s="6">
        <v>0.97399999999999998</v>
      </c>
      <c r="H34" s="6">
        <v>0.96399999999999997</v>
      </c>
      <c r="I34" s="6">
        <v>0.96599999999999997</v>
      </c>
      <c r="J34" s="6">
        <v>0.96399999999999997</v>
      </c>
      <c r="K34" s="6">
        <v>0.96</v>
      </c>
      <c r="L34" s="6">
        <v>0.96199999999999997</v>
      </c>
      <c r="O34" s="2">
        <f>AVERAGE(C34:L34)</f>
        <v>0.96479999999999999</v>
      </c>
      <c r="Q34" s="1">
        <f>_xlfn.STDEV.S(C34:L34)</f>
        <v>4.237399621885525E-3</v>
      </c>
      <c r="T34" s="1" t="s">
        <v>8</v>
      </c>
      <c r="U34" s="2">
        <v>0.81799999999999995</v>
      </c>
      <c r="V34" s="2">
        <v>0.80900000000000005</v>
      </c>
      <c r="W34" s="2">
        <v>0.79100000000000004</v>
      </c>
      <c r="X34" s="2">
        <v>0.80400000000000005</v>
      </c>
      <c r="Y34" s="2">
        <v>0.80700000000000005</v>
      </c>
      <c r="Z34" s="2">
        <v>0.80700000000000005</v>
      </c>
      <c r="AA34" s="2">
        <v>0.83599999999999997</v>
      </c>
      <c r="AB34" s="2">
        <v>0.81599999999999995</v>
      </c>
      <c r="AC34" s="2">
        <v>0.81499999999999995</v>
      </c>
      <c r="AD34" s="2">
        <v>0.77800000000000002</v>
      </c>
      <c r="AE34" s="2"/>
      <c r="AG34" s="2">
        <f>AVERAGE(U34:AD34)</f>
        <v>0.80810000000000015</v>
      </c>
      <c r="AI34" s="1">
        <f>_xlfn.STDEV.S(U34:AD34)</f>
        <v>1.5652120907049243E-2</v>
      </c>
      <c r="AK34" s="1" t="s">
        <v>8</v>
      </c>
      <c r="AL34" s="2">
        <v>0.93830000000000002</v>
      </c>
      <c r="AM34" s="2">
        <v>0.91830000000000001</v>
      </c>
      <c r="AN34" s="2">
        <v>0.94169999999999998</v>
      </c>
      <c r="AO34" s="2">
        <v>0.93169999999999997</v>
      </c>
      <c r="AP34" s="2">
        <v>0.93500000000000005</v>
      </c>
      <c r="AQ34" s="2">
        <v>0.91830000000000001</v>
      </c>
      <c r="AR34" s="2">
        <v>0.94830000000000003</v>
      </c>
      <c r="AS34" s="2">
        <v>0.92830000000000001</v>
      </c>
      <c r="AT34" s="2">
        <v>0.91830000000000001</v>
      </c>
      <c r="AU34" s="2">
        <v>0.94169999999999998</v>
      </c>
      <c r="AX34" s="2">
        <f>AVERAGE(AL34:AU34)</f>
        <v>0.9319900000000001</v>
      </c>
      <c r="AZ34" s="1">
        <f>_xlfn.STDEV.S(AL34:AU34)</f>
        <v>1.0951453480398544E-2</v>
      </c>
      <c r="BB34" s="1">
        <v>0.96</v>
      </c>
      <c r="BC34" s="1">
        <v>0.95</v>
      </c>
      <c r="BD34" s="1">
        <v>0.96499999999999997</v>
      </c>
      <c r="BE34" s="1">
        <v>0.96</v>
      </c>
      <c r="BF34" s="1">
        <v>0.96499999999999997</v>
      </c>
      <c r="BG34" s="1">
        <v>0.97499999999999998</v>
      </c>
      <c r="BH34" s="1">
        <v>0.96499999999999997</v>
      </c>
      <c r="BI34" s="1">
        <v>0.97499999999999998</v>
      </c>
      <c r="BJ34" s="1">
        <v>0.97</v>
      </c>
      <c r="BK34" s="1">
        <v>0.96499999999999997</v>
      </c>
      <c r="BN34" s="2">
        <f>AVERAGE(BB34:BK34)</f>
        <v>0.96499999999999986</v>
      </c>
      <c r="BP34" s="1">
        <f>_xlfn.STDEV.S(BB34:BK34)</f>
        <v>7.4535599249993057E-3</v>
      </c>
      <c r="BR34" s="2">
        <v>0.96</v>
      </c>
      <c r="BS34" s="2">
        <v>0.96</v>
      </c>
      <c r="BT34" s="2">
        <v>0.93500000000000005</v>
      </c>
      <c r="BU34" s="2">
        <v>0.96</v>
      </c>
      <c r="BV34" s="2">
        <v>0.96499999999999997</v>
      </c>
      <c r="BW34" s="2">
        <v>0.93500000000000005</v>
      </c>
      <c r="BX34" s="2">
        <v>0.92500000000000004</v>
      </c>
      <c r="BY34" s="2">
        <v>0.93500000000000005</v>
      </c>
      <c r="BZ34" s="2">
        <v>0.96</v>
      </c>
      <c r="CA34" s="2">
        <v>0.94499999999999995</v>
      </c>
      <c r="CD34" s="2">
        <f>AVERAGE(BR34:CA34)</f>
        <v>0.94800000000000006</v>
      </c>
      <c r="CF34" s="1">
        <f>_xlfn.STDEV.S(BR34:CA34)</f>
        <v>1.4567848922274732E-2</v>
      </c>
      <c r="CK34" s="2">
        <v>0.96</v>
      </c>
      <c r="CL34" s="2">
        <v>0.96</v>
      </c>
      <c r="CM34" s="2">
        <v>0.94499999999999995</v>
      </c>
      <c r="CN34" s="2">
        <v>0.93500000000000005</v>
      </c>
      <c r="CO34" s="2">
        <v>0.94</v>
      </c>
      <c r="CP34" s="2">
        <v>0.94</v>
      </c>
      <c r="CQ34" s="2">
        <v>0.96499999999999997</v>
      </c>
      <c r="CR34" s="2">
        <v>0.95</v>
      </c>
      <c r="CS34" s="2">
        <v>0.93</v>
      </c>
      <c r="CT34" s="2">
        <v>0.95</v>
      </c>
      <c r="CW34" s="2">
        <f>AVERAGE(CK34:CT34)</f>
        <v>0.94750000000000001</v>
      </c>
      <c r="CY34" s="1">
        <f>_xlfn.STDEV.S(CK34:CT34)</f>
        <v>1.1606990230986745E-2</v>
      </c>
      <c r="DB34" s="1" t="s">
        <v>15</v>
      </c>
      <c r="DC34" s="1">
        <v>0.86</v>
      </c>
      <c r="DD34" s="1">
        <v>0.86</v>
      </c>
      <c r="DE34" s="1">
        <v>0.872</v>
      </c>
      <c r="DF34" s="1">
        <v>0.86</v>
      </c>
      <c r="DG34" s="1">
        <v>0.86199999999999999</v>
      </c>
      <c r="DH34" s="1">
        <v>0.86199999999999999</v>
      </c>
      <c r="DI34" s="1">
        <v>0.86</v>
      </c>
      <c r="DJ34" s="1">
        <v>0.8640000000000001</v>
      </c>
      <c r="DK34" s="1">
        <v>0.872</v>
      </c>
      <c r="DL34" s="1">
        <v>0.8640000000000001</v>
      </c>
      <c r="DO34" s="2">
        <f>AVERAGE(DC34:DL34)</f>
        <v>0.86360000000000015</v>
      </c>
      <c r="DQ34" s="1">
        <f>_xlfn.STDEV.S(DC34:DL34)</f>
        <v>4.6951511631090756E-3</v>
      </c>
    </row>
    <row r="35" spans="1:121" x14ac:dyDescent="0.3">
      <c r="B35" s="1" t="s">
        <v>9</v>
      </c>
      <c r="C35" s="1">
        <v>0.96250000000000002</v>
      </c>
      <c r="D35" s="1">
        <v>0.96</v>
      </c>
      <c r="E35" s="1">
        <v>0.95750000000000002</v>
      </c>
      <c r="F35" s="1">
        <v>0.96750000000000003</v>
      </c>
      <c r="G35" s="7">
        <v>0.97250000000000003</v>
      </c>
      <c r="H35" s="7">
        <v>0.96</v>
      </c>
      <c r="I35" s="7">
        <v>0.96250000000000002</v>
      </c>
      <c r="J35" s="7">
        <v>0.96</v>
      </c>
      <c r="K35" s="7">
        <v>0.95750000000000002</v>
      </c>
      <c r="L35" s="7">
        <v>0.95750000000000002</v>
      </c>
      <c r="O35" s="2">
        <f t="shared" ref="O35:O37" si="53">AVERAGE(C35:L35)</f>
        <v>0.96174999999999999</v>
      </c>
      <c r="Q35" s="1">
        <f t="shared" ref="Q35:Q37" si="54">_xlfn.STDEV.S(C35:L35)</f>
        <v>4.8662671068854888E-3</v>
      </c>
      <c r="T35" s="1" t="s">
        <v>9</v>
      </c>
      <c r="U35" s="1">
        <v>0.78620000000000001</v>
      </c>
      <c r="V35" s="1">
        <v>0.78120000000000001</v>
      </c>
      <c r="W35" s="1">
        <v>0.75249999999999995</v>
      </c>
      <c r="X35" s="1">
        <v>0.77749999999999997</v>
      </c>
      <c r="Y35" s="1">
        <v>0.77869999999999995</v>
      </c>
      <c r="Z35" s="1">
        <v>0.79500000000000004</v>
      </c>
      <c r="AA35" s="1">
        <v>0.80249999999999999</v>
      </c>
      <c r="AB35" s="1">
        <v>0.78369999999999995</v>
      </c>
      <c r="AC35" s="1">
        <v>0.78369999999999995</v>
      </c>
      <c r="AD35" s="1">
        <v>0.77800000000000002</v>
      </c>
      <c r="AG35" s="2">
        <f t="shared" ref="AG35:AG38" si="55">AVERAGE(U35:AD35)</f>
        <v>0.78189999999999993</v>
      </c>
      <c r="AI35" s="1">
        <f t="shared" ref="AI35:AI38" si="56">_xlfn.STDEV.S(U35:AD35)</f>
        <v>1.3040961109775118E-2</v>
      </c>
      <c r="AK35" s="1" t="s">
        <v>9</v>
      </c>
      <c r="AL35" s="2">
        <v>0.93830000000000002</v>
      </c>
      <c r="AM35" s="1">
        <v>0.91830000000000001</v>
      </c>
      <c r="AN35" s="1">
        <v>0.94169999999999998</v>
      </c>
      <c r="AO35" s="1">
        <v>0.93169999999999997</v>
      </c>
      <c r="AP35" s="1">
        <v>0.93500000000000005</v>
      </c>
      <c r="AQ35" s="1">
        <v>0.91830000000000001</v>
      </c>
      <c r="AR35" s="1">
        <v>0.94830000000000003</v>
      </c>
      <c r="AS35" s="1">
        <v>0.92830000000000001</v>
      </c>
      <c r="AT35" s="1">
        <v>0.91830000000000001</v>
      </c>
      <c r="AU35" s="1">
        <v>0.94169999999999998</v>
      </c>
      <c r="AX35" s="2">
        <f t="shared" ref="AX35:AX37" si="57">AVERAGE(AL35:AU35)</f>
        <v>0.9319900000000001</v>
      </c>
      <c r="AZ35" s="1">
        <f t="shared" ref="AZ35:AZ37" si="58">_xlfn.STDEV.S(AL35:AU35)</f>
        <v>1.0951453480398544E-2</v>
      </c>
      <c r="BB35" s="1">
        <v>0.96</v>
      </c>
      <c r="BC35" s="1">
        <v>0.95</v>
      </c>
      <c r="BD35" s="1">
        <v>0.96499999999999997</v>
      </c>
      <c r="BE35" s="1">
        <v>0.96</v>
      </c>
      <c r="BF35" s="1">
        <v>0.96499999999999997</v>
      </c>
      <c r="BG35" s="1">
        <v>0.97499999999999998</v>
      </c>
      <c r="BH35" s="1">
        <v>0.96499999999999997</v>
      </c>
      <c r="BI35" s="1">
        <v>0.97499999999999998</v>
      </c>
      <c r="BJ35" s="1">
        <v>0.97</v>
      </c>
      <c r="BK35" s="1">
        <v>0.96499999999999997</v>
      </c>
      <c r="BN35" s="2">
        <f t="shared" ref="BN35:BN37" si="59">AVERAGE(BB35:BK35)</f>
        <v>0.96499999999999986</v>
      </c>
      <c r="BP35" s="1">
        <f t="shared" ref="BP35:BP37" si="60">_xlfn.STDEV.S(BB35:BK35)</f>
        <v>7.4535599249993057E-3</v>
      </c>
      <c r="BR35" s="1">
        <v>0.96</v>
      </c>
      <c r="BS35" s="1">
        <v>0.96</v>
      </c>
      <c r="BT35" s="1">
        <v>0.93500000000000005</v>
      </c>
      <c r="BU35" s="1">
        <v>0.96</v>
      </c>
      <c r="BV35" s="1">
        <v>0.96499999999999997</v>
      </c>
      <c r="BW35" s="1">
        <v>0.93500000000000005</v>
      </c>
      <c r="BX35" s="1">
        <v>0.92500000000000004</v>
      </c>
      <c r="BY35" s="1">
        <v>0.93500000000000005</v>
      </c>
      <c r="BZ35" s="1">
        <v>0.96</v>
      </c>
      <c r="CA35" s="1">
        <v>0.94499999999999995</v>
      </c>
      <c r="CD35" s="2">
        <f t="shared" ref="CD35:CD37" si="61">AVERAGE(BR35:CA35)</f>
        <v>0.94800000000000006</v>
      </c>
      <c r="CF35" s="1">
        <f t="shared" ref="CF35:CF37" si="62">_xlfn.STDEV.S(BR35:CA35)</f>
        <v>1.4567848922274732E-2</v>
      </c>
      <c r="CK35" s="1">
        <v>0.96</v>
      </c>
      <c r="CL35" s="1">
        <v>0.96</v>
      </c>
      <c r="CM35" s="1">
        <v>0.94499999999999995</v>
      </c>
      <c r="CN35" s="1">
        <v>0.93500000000000005</v>
      </c>
      <c r="CO35" s="1">
        <v>0.94</v>
      </c>
      <c r="CP35" s="1">
        <v>0.94</v>
      </c>
      <c r="CQ35" s="1">
        <v>0.96499999999999997</v>
      </c>
      <c r="CR35" s="1">
        <v>0.95</v>
      </c>
      <c r="CS35" s="1">
        <v>0.93</v>
      </c>
      <c r="CT35" s="1">
        <v>0.95</v>
      </c>
      <c r="CW35" s="2">
        <f t="shared" ref="CW35:CW37" si="63">AVERAGE(CK35:CT35)</f>
        <v>0.94750000000000001</v>
      </c>
      <c r="CY35" s="1">
        <f t="shared" ref="CY35:CY37" si="64">_xlfn.STDEV.S(CK35:CT35)</f>
        <v>1.1606990230986745E-2</v>
      </c>
      <c r="DC35" s="1">
        <v>0.86</v>
      </c>
      <c r="DD35" s="1">
        <v>0.86</v>
      </c>
      <c r="DE35" s="1">
        <v>0.872</v>
      </c>
      <c r="DF35" s="1">
        <v>0.86</v>
      </c>
      <c r="DG35" s="1">
        <v>0.86199999999999999</v>
      </c>
      <c r="DH35" s="1">
        <v>0.86199999999999999</v>
      </c>
      <c r="DI35" s="1">
        <v>0.86</v>
      </c>
      <c r="DJ35" s="1">
        <v>0.86399999999999999</v>
      </c>
      <c r="DK35" s="1">
        <v>0.872</v>
      </c>
      <c r="DL35" s="1">
        <v>0.86399999999999999</v>
      </c>
      <c r="DO35" s="2">
        <f t="shared" ref="DO35:DO37" si="65">AVERAGE(DC35:DL35)</f>
        <v>0.86360000000000015</v>
      </c>
      <c r="DQ35" s="1">
        <f t="shared" ref="DQ35:DQ37" si="66">_xlfn.STDEV.S(DC35:DL35)</f>
        <v>4.695151163109073E-3</v>
      </c>
    </row>
    <row r="36" spans="1:121" x14ac:dyDescent="0.3">
      <c r="B36" s="1" t="s">
        <v>10</v>
      </c>
      <c r="C36" s="1">
        <v>0.9637</v>
      </c>
      <c r="D36" s="1">
        <v>0.95899999999999996</v>
      </c>
      <c r="E36" s="1">
        <v>0.96020000000000005</v>
      </c>
      <c r="F36" s="1">
        <v>0.97</v>
      </c>
      <c r="G36" s="7">
        <v>0.96989999999999998</v>
      </c>
      <c r="H36" s="7">
        <v>0.96009999999999995</v>
      </c>
      <c r="I36" s="7">
        <v>0.96619999999999995</v>
      </c>
      <c r="J36" s="7">
        <v>0.96030000000000004</v>
      </c>
      <c r="K36" s="7">
        <v>0.9587</v>
      </c>
      <c r="L36" s="7">
        <v>0.96009999999999995</v>
      </c>
      <c r="O36" s="2">
        <f t="shared" si="53"/>
        <v>0.96282000000000001</v>
      </c>
      <c r="Q36" s="1">
        <f t="shared" si="54"/>
        <v>4.3900898497512353E-3</v>
      </c>
      <c r="T36" s="1" t="s">
        <v>10</v>
      </c>
      <c r="U36" s="1">
        <v>0.79320000000000002</v>
      </c>
      <c r="V36" s="1">
        <v>0.79210000000000003</v>
      </c>
      <c r="W36" s="1">
        <v>0.75990000000000002</v>
      </c>
      <c r="X36" s="1">
        <v>0.78979999999999995</v>
      </c>
      <c r="Y36" s="1">
        <v>0.78269999999999995</v>
      </c>
      <c r="Z36" s="1">
        <v>0.79339999999999999</v>
      </c>
      <c r="AA36" s="1">
        <v>0.81740000000000002</v>
      </c>
      <c r="AB36" s="1">
        <v>0.7954</v>
      </c>
      <c r="AC36" s="1">
        <v>0.79290000000000005</v>
      </c>
      <c r="AD36" s="1">
        <v>0.75849999999999995</v>
      </c>
      <c r="AG36" s="2">
        <f t="shared" si="55"/>
        <v>0.78753000000000006</v>
      </c>
      <c r="AI36" s="1">
        <f t="shared" si="56"/>
        <v>1.7336925909745372E-2</v>
      </c>
      <c r="AK36" s="1" t="s">
        <v>10</v>
      </c>
      <c r="AL36" s="1">
        <v>0.93620000000000003</v>
      </c>
      <c r="AM36" s="1">
        <v>0.91490000000000005</v>
      </c>
      <c r="AN36" s="1">
        <v>0.94130000000000003</v>
      </c>
      <c r="AO36" s="1">
        <v>0.93130000000000002</v>
      </c>
      <c r="AP36" s="1">
        <v>0.9335</v>
      </c>
      <c r="AQ36" s="1">
        <v>0.9163</v>
      </c>
      <c r="AR36" s="1">
        <v>0.9476</v>
      </c>
      <c r="AS36" s="1">
        <v>0.92610000000000003</v>
      </c>
      <c r="AT36" s="1">
        <v>0.91490000000000005</v>
      </c>
      <c r="AU36" s="1">
        <v>0.94130000000000003</v>
      </c>
      <c r="AX36" s="2">
        <f t="shared" si="57"/>
        <v>0.93033999999999983</v>
      </c>
      <c r="AZ36" s="1">
        <f t="shared" si="58"/>
        <v>1.1903706238908202E-2</v>
      </c>
      <c r="BB36" s="1">
        <v>0.96</v>
      </c>
      <c r="BC36" s="1">
        <v>0.95</v>
      </c>
      <c r="BD36" s="1">
        <v>0.96499999999999997</v>
      </c>
      <c r="BE36" s="1">
        <v>0.96</v>
      </c>
      <c r="BF36" s="1">
        <v>0.96499999999999997</v>
      </c>
      <c r="BG36" s="1">
        <v>0.97499999999999998</v>
      </c>
      <c r="BH36" s="1">
        <v>0.96499999999999997</v>
      </c>
      <c r="BI36" s="1">
        <v>0.97499999999999998</v>
      </c>
      <c r="BJ36" s="1">
        <v>0.97</v>
      </c>
      <c r="BK36" s="1">
        <v>0.96499999999999997</v>
      </c>
      <c r="BN36" s="2">
        <f t="shared" si="59"/>
        <v>0.96499999999999986</v>
      </c>
      <c r="BP36" s="1">
        <f t="shared" si="60"/>
        <v>7.4535599249993057E-3</v>
      </c>
      <c r="BR36" s="1">
        <v>0.95989999999999998</v>
      </c>
      <c r="BS36" s="1">
        <v>0.95989999999999998</v>
      </c>
      <c r="BT36" s="1">
        <v>0.93500000000000005</v>
      </c>
      <c r="BU36" s="1">
        <v>0.96</v>
      </c>
      <c r="BV36" s="1">
        <v>0.96499999999999997</v>
      </c>
      <c r="BW36" s="1">
        <v>0.93500000000000005</v>
      </c>
      <c r="BX36" s="1">
        <v>0.92500000000000004</v>
      </c>
      <c r="BY36" s="1">
        <v>0.93500000000000005</v>
      </c>
      <c r="BZ36" s="1">
        <v>0.96</v>
      </c>
      <c r="CA36" s="1">
        <v>0.94499999999999995</v>
      </c>
      <c r="CD36" s="2">
        <f t="shared" si="61"/>
        <v>0.94798000000000004</v>
      </c>
      <c r="CF36" s="1">
        <f t="shared" si="62"/>
        <v>1.45495933505602E-2</v>
      </c>
      <c r="CK36" s="1">
        <v>0.96</v>
      </c>
      <c r="CL36" s="1">
        <v>0.96</v>
      </c>
      <c r="CM36" s="1">
        <v>0.94499999999999995</v>
      </c>
      <c r="CN36" s="1">
        <v>0.93500000000000005</v>
      </c>
      <c r="CO36" s="1">
        <v>0.94</v>
      </c>
      <c r="CP36" s="1">
        <v>0.94</v>
      </c>
      <c r="CQ36" s="1">
        <v>0.96499999999999997</v>
      </c>
      <c r="CR36" s="1">
        <v>0.95</v>
      </c>
      <c r="CS36" s="1">
        <v>0.92989999999999995</v>
      </c>
      <c r="CT36" s="1">
        <v>0.95</v>
      </c>
      <c r="CW36" s="2">
        <f t="shared" si="63"/>
        <v>0.94748999999999983</v>
      </c>
      <c r="CY36" s="1">
        <f t="shared" si="64"/>
        <v>1.1623773531478967E-2</v>
      </c>
      <c r="DC36" s="1">
        <v>0.8579</v>
      </c>
      <c r="DD36" s="1">
        <v>0.8589</v>
      </c>
      <c r="DE36" s="1">
        <v>0.87060000000000004</v>
      </c>
      <c r="DF36" s="1">
        <v>0.8579</v>
      </c>
      <c r="DG36" s="1">
        <v>0.86109999999999998</v>
      </c>
      <c r="DH36" s="1">
        <v>0.86070000000000002</v>
      </c>
      <c r="DI36" s="1">
        <v>0.8579</v>
      </c>
      <c r="DJ36" s="1">
        <v>0.86170000000000002</v>
      </c>
      <c r="DK36" s="1">
        <v>0.87060000000000004</v>
      </c>
      <c r="DL36" s="1">
        <v>0.86350000000000005</v>
      </c>
      <c r="DO36" s="2">
        <f t="shared" si="65"/>
        <v>0.86207999999999996</v>
      </c>
      <c r="DQ36" s="1">
        <f t="shared" si="66"/>
        <v>4.8618240747001036E-3</v>
      </c>
    </row>
    <row r="37" spans="1:121" x14ac:dyDescent="0.3">
      <c r="B37" s="1" t="s">
        <v>11</v>
      </c>
      <c r="C37" s="1">
        <v>0.99780000000000002</v>
      </c>
      <c r="D37" s="1">
        <v>0.99770000000000003</v>
      </c>
      <c r="E37" s="1">
        <v>0.99750000000000005</v>
      </c>
      <c r="F37" s="1">
        <v>0.99780000000000002</v>
      </c>
      <c r="G37" s="7">
        <v>0.99750000000000005</v>
      </c>
      <c r="H37" s="7">
        <v>0.99760000000000004</v>
      </c>
      <c r="I37" s="7">
        <v>0.99639999999999995</v>
      </c>
      <c r="J37" s="7">
        <v>0.99739999999999995</v>
      </c>
      <c r="K37" s="7">
        <v>0.99650000000000005</v>
      </c>
      <c r="L37" s="7">
        <v>0.99750000000000005</v>
      </c>
      <c r="O37" s="2">
        <f t="shared" si="53"/>
        <v>0.99737000000000009</v>
      </c>
      <c r="Q37" s="1">
        <f t="shared" si="54"/>
        <v>5.0343266128098727E-4</v>
      </c>
      <c r="T37" s="1" t="s">
        <v>11</v>
      </c>
      <c r="U37" s="1">
        <v>0.96350000000000002</v>
      </c>
      <c r="V37" s="1">
        <v>0.96850000000000003</v>
      </c>
      <c r="W37" s="1">
        <v>0.96519999999999995</v>
      </c>
      <c r="X37" s="1">
        <v>0.96250000000000002</v>
      </c>
      <c r="Y37" s="1">
        <v>0.9677</v>
      </c>
      <c r="Z37" s="1">
        <v>0.97060000000000002</v>
      </c>
      <c r="AA37" s="1">
        <v>0.96779999999999999</v>
      </c>
      <c r="AB37" s="1">
        <v>0.96760000000000002</v>
      </c>
      <c r="AC37" s="1">
        <v>0.96760000000000002</v>
      </c>
      <c r="AD37" s="1">
        <v>0.96750000000000003</v>
      </c>
      <c r="AG37" s="2">
        <f t="shared" si="55"/>
        <v>0.96684999999999999</v>
      </c>
      <c r="AI37" s="1">
        <f t="shared" si="56"/>
        <v>2.4226936340454729E-3</v>
      </c>
      <c r="AK37" s="1" t="s">
        <v>11</v>
      </c>
      <c r="AL37" s="1">
        <v>0.99629999999999996</v>
      </c>
      <c r="AM37" s="1">
        <v>0.99550000000000005</v>
      </c>
      <c r="AN37" s="1">
        <v>0.99560000000000004</v>
      </c>
      <c r="AO37" s="1">
        <v>0.99609999999999999</v>
      </c>
      <c r="AP37" s="1">
        <v>0.99390000000000001</v>
      </c>
      <c r="AQ37" s="1">
        <v>0.99660000000000004</v>
      </c>
      <c r="AR37" s="1">
        <v>0.99460000000000004</v>
      </c>
      <c r="AS37" s="1">
        <v>0.995</v>
      </c>
      <c r="AT37" s="1">
        <v>0.99550000000000005</v>
      </c>
      <c r="AU37" s="1">
        <v>0.99560000000000004</v>
      </c>
      <c r="AX37" s="2">
        <f t="shared" si="57"/>
        <v>0.99547000000000008</v>
      </c>
      <c r="AZ37" s="1">
        <f t="shared" si="58"/>
        <v>8.0560536244491038E-4</v>
      </c>
      <c r="BB37" s="1">
        <v>0.98960000000000004</v>
      </c>
      <c r="BC37" s="1">
        <v>0.99250000000000005</v>
      </c>
      <c r="BD37" s="1">
        <v>0.99180000000000001</v>
      </c>
      <c r="BE37" s="1">
        <v>0.99280000000000002</v>
      </c>
      <c r="BF37" s="1">
        <v>0.99309999999999998</v>
      </c>
      <c r="BG37" s="1">
        <v>0.99480000000000002</v>
      </c>
      <c r="BH37" s="1">
        <v>0.99019999999999997</v>
      </c>
      <c r="BI37" s="1">
        <v>0.99680000000000002</v>
      </c>
      <c r="BJ37" s="1">
        <v>0.99390000000000001</v>
      </c>
      <c r="BK37" s="1">
        <v>0.99039999999999995</v>
      </c>
      <c r="BN37" s="2">
        <f t="shared" si="59"/>
        <v>0.99258999999999986</v>
      </c>
      <c r="BP37" s="1">
        <f t="shared" si="60"/>
        <v>2.2288262980023161E-3</v>
      </c>
      <c r="BR37" s="1">
        <v>0.99199999999999999</v>
      </c>
      <c r="BS37" s="1">
        <v>0.99439999999999995</v>
      </c>
      <c r="BT37" s="1">
        <v>0.98819999999999997</v>
      </c>
      <c r="BU37" s="1">
        <v>0.99390000000000001</v>
      </c>
      <c r="BV37" s="1">
        <v>0.99419999999999997</v>
      </c>
      <c r="BW37" s="1">
        <v>0.99050000000000005</v>
      </c>
      <c r="BX37" s="1">
        <v>0.98960000000000004</v>
      </c>
      <c r="BY37" s="1">
        <v>0.99419999999999997</v>
      </c>
      <c r="BZ37" s="1">
        <v>0.99199999999999999</v>
      </c>
      <c r="CA37" s="1">
        <v>0.98680000000000001</v>
      </c>
      <c r="CD37" s="2">
        <f t="shared" si="61"/>
        <v>0.99158000000000013</v>
      </c>
      <c r="CF37" s="1">
        <f t="shared" si="62"/>
        <v>2.7238861128093227E-3</v>
      </c>
      <c r="CK37" s="1">
        <v>0.99550000000000005</v>
      </c>
      <c r="CL37" s="1">
        <v>0.99280000000000002</v>
      </c>
      <c r="CM37" s="1">
        <v>0.99080000000000001</v>
      </c>
      <c r="CN37" s="1">
        <v>0.97840000000000005</v>
      </c>
      <c r="CO37" s="1">
        <v>0.9748</v>
      </c>
      <c r="CP37" s="1">
        <v>0.98080000000000001</v>
      </c>
      <c r="CQ37" s="1">
        <v>0.96960000000000002</v>
      </c>
      <c r="CR37" s="1">
        <v>0.98440000000000005</v>
      </c>
      <c r="CS37" s="1">
        <v>0.98909999999999998</v>
      </c>
      <c r="CT37" s="1">
        <v>0.98499999999999999</v>
      </c>
      <c r="CW37" s="2">
        <f t="shared" si="63"/>
        <v>0.98412000000000011</v>
      </c>
      <c r="CY37" s="1">
        <f t="shared" si="64"/>
        <v>8.276848568279007E-3</v>
      </c>
      <c r="DC37" s="1">
        <v>0.9647</v>
      </c>
      <c r="DD37" s="1">
        <v>0.96279999999999999</v>
      </c>
      <c r="DE37" s="1">
        <v>0.96419999999999995</v>
      </c>
      <c r="DF37" s="1">
        <v>0.9647</v>
      </c>
      <c r="DG37" s="1">
        <v>0.96589999999999998</v>
      </c>
      <c r="DH37" s="1">
        <v>0.96099999999999997</v>
      </c>
      <c r="DI37" s="1">
        <v>0.9647</v>
      </c>
      <c r="DJ37" s="1">
        <v>0.96450000000000002</v>
      </c>
      <c r="DK37" s="1">
        <v>0.96419999999999995</v>
      </c>
      <c r="DL37" s="1">
        <v>0.97030000000000005</v>
      </c>
      <c r="DO37" s="2">
        <f t="shared" si="65"/>
        <v>0.9647</v>
      </c>
      <c r="DQ37" s="1">
        <f t="shared" si="66"/>
        <v>2.3720595832876479E-3</v>
      </c>
    </row>
    <row r="38" spans="1:121" x14ac:dyDescent="0.3">
      <c r="B38" s="1" t="s">
        <v>12</v>
      </c>
      <c r="C38" s="1">
        <v>0.95509999999999995</v>
      </c>
      <c r="D38" s="1">
        <v>0.95269999999999999</v>
      </c>
      <c r="E38" s="1">
        <v>0.9526</v>
      </c>
      <c r="F38" s="1">
        <v>0.96250000000000002</v>
      </c>
      <c r="G38" s="7">
        <v>0.9677</v>
      </c>
      <c r="H38" s="7">
        <v>0.95520000000000005</v>
      </c>
      <c r="I38" s="7">
        <v>0.95750000000000002</v>
      </c>
      <c r="J38" s="7">
        <v>0.95509999999999995</v>
      </c>
      <c r="K38" s="7">
        <v>0.95020000000000004</v>
      </c>
      <c r="L38" s="7">
        <v>0.9526</v>
      </c>
      <c r="O38" s="2">
        <f>AVERAGE(C38:L38)</f>
        <v>0.95611999999999997</v>
      </c>
      <c r="Q38" s="1">
        <f>_xlfn.STDEV.S(C38:L38)</f>
        <v>5.2826340231197384E-3</v>
      </c>
      <c r="T38" s="1" t="s">
        <v>12</v>
      </c>
      <c r="U38" s="1">
        <v>0.7984</v>
      </c>
      <c r="V38" s="1">
        <v>0.78869999999999996</v>
      </c>
      <c r="W38" s="1">
        <v>0.76919999999999999</v>
      </c>
      <c r="X38" s="1">
        <v>0.78269999999999995</v>
      </c>
      <c r="Y38" s="1">
        <v>0.78680000000000005</v>
      </c>
      <c r="Z38" s="1">
        <v>0.78800000000000003</v>
      </c>
      <c r="AA38" s="1">
        <v>0.81850000000000001</v>
      </c>
      <c r="AB38" s="1">
        <v>0.79630000000000001</v>
      </c>
      <c r="AC38" s="1">
        <v>0.79500000000000004</v>
      </c>
      <c r="AD38" s="1">
        <v>0.75390000000000001</v>
      </c>
      <c r="AG38" s="2">
        <f t="shared" si="55"/>
        <v>0.78774999999999995</v>
      </c>
      <c r="AI38" s="1">
        <f t="shared" si="56"/>
        <v>1.7326745542978094E-2</v>
      </c>
      <c r="AK38" s="1" t="s">
        <v>12</v>
      </c>
      <c r="AL38" s="1">
        <v>0.92749999999999999</v>
      </c>
      <c r="AM38" s="1">
        <v>0.9042</v>
      </c>
      <c r="AN38" s="1">
        <v>0.93010000000000004</v>
      </c>
      <c r="AO38" s="1">
        <v>0.91920000000000002</v>
      </c>
      <c r="AP38" s="1">
        <v>0.92269999999999996</v>
      </c>
      <c r="AQ38" s="1">
        <v>0.90390000000000004</v>
      </c>
      <c r="AR38" s="1">
        <v>0.93820000000000003</v>
      </c>
      <c r="AS38" s="1">
        <v>0.9153</v>
      </c>
      <c r="AT38" s="1">
        <v>0.9042</v>
      </c>
      <c r="AU38" s="1">
        <v>0.93010000000000004</v>
      </c>
      <c r="AX38" s="2">
        <f>AVERAGE(AL38:AU38)</f>
        <v>0.91953999999999991</v>
      </c>
      <c r="AZ38" s="1">
        <f>_xlfn.STDEV.S(AL38:AU38)</f>
        <v>1.2373376436706537E-2</v>
      </c>
      <c r="BB38" s="1">
        <v>0.92069999999999996</v>
      </c>
      <c r="BC38" s="1">
        <v>0.90159999999999996</v>
      </c>
      <c r="BD38" s="1">
        <v>0.9304</v>
      </c>
      <c r="BE38" s="1">
        <v>0.92</v>
      </c>
      <c r="BF38" s="1">
        <v>0.9304</v>
      </c>
      <c r="BG38" s="1">
        <v>0.95</v>
      </c>
      <c r="BH38" s="1">
        <v>0.93</v>
      </c>
      <c r="BI38" s="1">
        <v>0.95</v>
      </c>
      <c r="BJ38" s="1">
        <v>0.94020000000000004</v>
      </c>
      <c r="BK38" s="1">
        <v>0.93</v>
      </c>
      <c r="BN38" s="2">
        <f>AVERAGE(BB38:BK38)</f>
        <v>0.93032999999999999</v>
      </c>
      <c r="BP38" s="1">
        <f>_xlfn.STDEV.S(BB38:BK38)</f>
        <v>1.451558932091058E-2</v>
      </c>
      <c r="BR38" s="1">
        <v>0.92300000000000004</v>
      </c>
      <c r="BS38" s="1">
        <v>0.92300000000000004</v>
      </c>
      <c r="BT38" s="1">
        <v>0.93500000000000005</v>
      </c>
      <c r="BU38" s="1">
        <v>0.92020000000000002</v>
      </c>
      <c r="BV38" s="1">
        <v>0.93230000000000002</v>
      </c>
      <c r="BW38" s="1">
        <v>0.87109999999999999</v>
      </c>
      <c r="BX38" s="1">
        <v>0.85</v>
      </c>
      <c r="BY38" s="1">
        <v>0.87109999999999999</v>
      </c>
      <c r="BZ38" s="1">
        <v>0.92300000000000004</v>
      </c>
      <c r="CA38" s="1">
        <v>0.89039999999999997</v>
      </c>
      <c r="CD38" s="2">
        <f>AVERAGE(BR38:CA38)</f>
        <v>0.90390999999999999</v>
      </c>
      <c r="CF38" s="1">
        <f>_xlfn.STDEV.S(BR38:CA38)</f>
        <v>3.050141891052869E-2</v>
      </c>
      <c r="CK38" s="1">
        <v>0.92020000000000002</v>
      </c>
      <c r="CL38" s="1">
        <v>0.92</v>
      </c>
      <c r="CM38" s="1">
        <v>0.89039999999999997</v>
      </c>
      <c r="CN38" s="1">
        <v>0.87039999999999995</v>
      </c>
      <c r="CO38" s="1">
        <v>0.88070000000000004</v>
      </c>
      <c r="CP38" s="1">
        <v>0.88070000000000004</v>
      </c>
      <c r="CQ38" s="1">
        <v>0.93</v>
      </c>
      <c r="CR38" s="1">
        <v>0.9002</v>
      </c>
      <c r="CS38" s="1">
        <v>0.86280000000000001</v>
      </c>
      <c r="CT38" s="1">
        <v>0.9002</v>
      </c>
      <c r="CW38" s="2">
        <f>AVERAGE(CK38:CT38)</f>
        <v>0.89555999999999991</v>
      </c>
      <c r="CY38" s="1">
        <f>_xlfn.STDEV.S(CK38:CT38)</f>
        <v>2.2627721444674419E-2</v>
      </c>
      <c r="DC38" s="1">
        <v>0.82689999999999997</v>
      </c>
      <c r="DD38" s="1">
        <v>0.82599999999999996</v>
      </c>
      <c r="DE38" s="1">
        <v>0.84130000000000005</v>
      </c>
      <c r="DF38" s="1">
        <v>0.82689999999999997</v>
      </c>
      <c r="DG38" s="1">
        <v>0.82869999999999999</v>
      </c>
      <c r="DH38" s="1">
        <v>0.82850000000000001</v>
      </c>
      <c r="DI38" s="1">
        <v>0.82689999999999997</v>
      </c>
      <c r="DJ38" s="1">
        <v>0.83209999999999995</v>
      </c>
      <c r="DK38" s="1">
        <v>0.84130000000000005</v>
      </c>
      <c r="DL38" s="1">
        <v>0.83140000000000003</v>
      </c>
      <c r="DO38" s="2">
        <f>AVERAGE(DC38:DL38)</f>
        <v>0.83099999999999985</v>
      </c>
      <c r="DQ38" s="1">
        <f>_xlfn.STDEV.S(DC38:DL38)</f>
        <v>5.7785042278353871E-3</v>
      </c>
    </row>
    <row r="39" spans="1:121" x14ac:dyDescent="0.3">
      <c r="AG39" s="2"/>
    </row>
    <row r="43" spans="1:121" x14ac:dyDescent="0.3">
      <c r="A43" s="1" t="s">
        <v>16</v>
      </c>
      <c r="B43" s="1" t="s">
        <v>8</v>
      </c>
      <c r="C43" s="1">
        <v>0.93953488399999996</v>
      </c>
      <c r="D43" s="1">
        <v>0.93023255800000004</v>
      </c>
      <c r="E43" s="1">
        <v>0.62790697699999998</v>
      </c>
      <c r="F43" s="1">
        <v>0.813953488</v>
      </c>
      <c r="G43" s="1">
        <v>0.91627906999999997</v>
      </c>
      <c r="H43" s="1">
        <v>0.96744185999999999</v>
      </c>
      <c r="I43" s="1">
        <v>0.93488372099999995</v>
      </c>
      <c r="J43" s="1">
        <v>0.91162790699999996</v>
      </c>
      <c r="K43" s="1">
        <v>0.897674419</v>
      </c>
      <c r="L43" s="1">
        <v>0.89302325599999999</v>
      </c>
      <c r="O43" s="2">
        <f>AVERAGE(C43:L43)</f>
        <v>0.88325581399999997</v>
      </c>
      <c r="Q43" s="1">
        <f>_xlfn.STDEV.S(C43:L43)</f>
        <v>9.8506362150368523E-2</v>
      </c>
      <c r="T43" s="1" t="s">
        <v>8</v>
      </c>
      <c r="U43" s="1">
        <v>0.72222222199999997</v>
      </c>
      <c r="V43" s="1">
        <v>0.71111111100000002</v>
      </c>
      <c r="W43" s="1">
        <v>0.75</v>
      </c>
      <c r="X43" s="1">
        <v>0.71666666700000003</v>
      </c>
      <c r="Y43" s="1">
        <v>0.63333333300000005</v>
      </c>
      <c r="Z43" s="1">
        <v>0.66666666699999999</v>
      </c>
      <c r="AA43" s="1">
        <v>0.61666666699999995</v>
      </c>
      <c r="AB43" s="1">
        <v>0.66666666699999999</v>
      </c>
      <c r="AC43" s="1">
        <v>0.72222222199999997</v>
      </c>
      <c r="AD43" s="1">
        <v>0.47222222200000002</v>
      </c>
      <c r="AG43" s="2">
        <f>AVERAGE(U43:AD43)</f>
        <v>0.66777777780000003</v>
      </c>
      <c r="AI43" s="1">
        <f>_xlfn.STDEV.S(U43:AD43)</f>
        <v>8.0966385376820244E-2</v>
      </c>
      <c r="AK43" s="1" t="s">
        <v>8</v>
      </c>
      <c r="AL43" s="1">
        <v>0.625</v>
      </c>
      <c r="AM43" s="1">
        <v>0.68055555599999995</v>
      </c>
      <c r="AN43" s="1">
        <v>0.79166666699999999</v>
      </c>
      <c r="AO43" s="1">
        <v>0.81944444400000005</v>
      </c>
      <c r="AP43" s="1">
        <v>0.54861111100000004</v>
      </c>
      <c r="AQ43" s="1">
        <v>0.63888888899999996</v>
      </c>
      <c r="AR43" s="1">
        <v>0.83333333300000001</v>
      </c>
      <c r="AS43" s="1">
        <v>0.77777777800000003</v>
      </c>
      <c r="AT43" s="1">
        <v>0.71527777800000003</v>
      </c>
      <c r="AU43" s="1">
        <v>0.75694444400000005</v>
      </c>
      <c r="AX43" s="2">
        <f>AVERAGE(AL43:AU43)</f>
        <v>0.71874999999999989</v>
      </c>
      <c r="AZ43" s="1">
        <f>_xlfn.STDEV.S(AL43:AU43)</f>
        <v>9.3757144134744827E-2</v>
      </c>
      <c r="BB43" s="1">
        <v>0.74404761900000005</v>
      </c>
      <c r="BC43" s="1">
        <v>0.63095238099999995</v>
      </c>
      <c r="BD43" s="1">
        <v>0.74404761900000005</v>
      </c>
      <c r="BE43" s="1">
        <v>0.74404761900000005</v>
      </c>
      <c r="BF43" s="1">
        <v>0.61904761900000005</v>
      </c>
      <c r="BG43" s="1">
        <v>0.75</v>
      </c>
      <c r="BH43" s="1">
        <v>0.75</v>
      </c>
      <c r="BI43" s="1">
        <v>0.75</v>
      </c>
      <c r="BJ43" s="1">
        <v>0.71428571399999996</v>
      </c>
      <c r="BK43" s="1">
        <v>0.61309523799999999</v>
      </c>
      <c r="BN43" s="2">
        <f>AVERAGE(BB43:BK43)</f>
        <v>0.7059523808999999</v>
      </c>
      <c r="BP43" s="1">
        <f>_xlfn.STDEV.S(BB43:BK43)</f>
        <v>5.9669134769089048E-2</v>
      </c>
      <c r="BR43" s="1">
        <v>0.67808219199999997</v>
      </c>
      <c r="BS43" s="1">
        <v>0.66438356200000004</v>
      </c>
      <c r="BT43" s="1">
        <v>0.67808219199999997</v>
      </c>
      <c r="BU43" s="1">
        <v>0.67808219199999997</v>
      </c>
      <c r="BV43" s="1">
        <v>0.56164383600000001</v>
      </c>
      <c r="BW43" s="1">
        <v>0.67808219199999997</v>
      </c>
      <c r="BX43" s="1">
        <v>0.69178082200000002</v>
      </c>
      <c r="BY43" s="1">
        <v>0.73287671200000004</v>
      </c>
      <c r="BZ43" s="1">
        <v>0.68493150700000005</v>
      </c>
      <c r="CA43" s="1">
        <v>0.76027397299999999</v>
      </c>
      <c r="CD43" s="2">
        <f>AVERAGE(BR43:CA43)</f>
        <v>0.68082191800000003</v>
      </c>
      <c r="CF43" s="1">
        <f>_xlfn.STDEV.S(BR43:CA43)</f>
        <v>5.1275916040506186E-2</v>
      </c>
      <c r="CK43" s="1">
        <v>0.79545454500000001</v>
      </c>
      <c r="CL43" s="1">
        <v>0.73863636399999999</v>
      </c>
      <c r="CM43" s="1">
        <v>0.86363636399999999</v>
      </c>
      <c r="CN43" s="1">
        <v>0.70454545499999999</v>
      </c>
      <c r="CO43" s="1">
        <v>0.43181818199999999</v>
      </c>
      <c r="CP43" s="1">
        <v>0.69318181800000001</v>
      </c>
      <c r="CQ43" s="1">
        <v>0.70454545499999999</v>
      </c>
      <c r="CR43" s="1">
        <v>0.61363636399999999</v>
      </c>
      <c r="CS43" s="1">
        <v>0.69318181800000001</v>
      </c>
      <c r="CT43" s="1">
        <v>0.82954545499999999</v>
      </c>
      <c r="CW43" s="2">
        <f>AVERAGE(CK43:CT43)</f>
        <v>0.70681818200000002</v>
      </c>
      <c r="CY43" s="1">
        <f>_xlfn.STDEV.S(CK43:CT43)</f>
        <v>0.12166110029438033</v>
      </c>
      <c r="DB43" s="1" t="s">
        <v>16</v>
      </c>
      <c r="DC43" s="1">
        <v>0.71750000000000003</v>
      </c>
      <c r="DD43" s="1">
        <v>0.73750000000000004</v>
      </c>
      <c r="DE43" s="1">
        <v>0.67</v>
      </c>
      <c r="DF43" s="1">
        <v>0.67500000000000004</v>
      </c>
      <c r="DG43" s="1">
        <v>0.54749999999999999</v>
      </c>
      <c r="DH43" s="1">
        <v>0.6925</v>
      </c>
      <c r="DI43" s="1">
        <v>0.755</v>
      </c>
      <c r="DJ43" s="1">
        <v>0.66</v>
      </c>
      <c r="DK43" s="1">
        <v>0.69750000000000001</v>
      </c>
      <c r="DL43" s="1">
        <v>0.78249999999999997</v>
      </c>
      <c r="DO43" s="2">
        <f>AVERAGE(DC43:DL43)</f>
        <v>0.69350000000000001</v>
      </c>
      <c r="DQ43" s="1">
        <f>_xlfn.STDEV.S(DC43:DL43)</f>
        <v>6.4605641308548969E-2</v>
      </c>
    </row>
    <row r="44" spans="1:121" x14ac:dyDescent="0.3">
      <c r="B44" s="1" t="s">
        <v>9</v>
      </c>
      <c r="C44" s="1">
        <v>0.93953488399999996</v>
      </c>
      <c r="D44" s="1">
        <v>0.93023255800000004</v>
      </c>
      <c r="E44" s="1">
        <v>0.62790697699999998</v>
      </c>
      <c r="F44" s="1">
        <v>0.813953488</v>
      </c>
      <c r="G44" s="1">
        <v>0.91627906999999997</v>
      </c>
      <c r="H44" s="1">
        <v>0.96744185999999999</v>
      </c>
      <c r="I44" s="1">
        <v>0.93488372099999995</v>
      </c>
      <c r="J44" s="1">
        <v>0.91162790699999996</v>
      </c>
      <c r="K44" s="1">
        <v>0.897674419</v>
      </c>
      <c r="L44" s="1">
        <v>0.89302325599999999</v>
      </c>
      <c r="O44" s="2">
        <f t="shared" ref="O44:O46" si="67">AVERAGE(C44:L44)</f>
        <v>0.88325581399999997</v>
      </c>
      <c r="Q44" s="1">
        <f t="shared" ref="Q44:Q46" si="68">_xlfn.STDEV.S(C44:L44)</f>
        <v>9.8506362150368523E-2</v>
      </c>
      <c r="T44" s="1" t="s">
        <v>9</v>
      </c>
      <c r="U44" s="1">
        <v>0.72222222199999997</v>
      </c>
      <c r="V44" s="1">
        <v>0.71111111100000002</v>
      </c>
      <c r="W44" s="1">
        <v>0.75</v>
      </c>
      <c r="X44" s="1">
        <v>0.71666666700000003</v>
      </c>
      <c r="Y44" s="1">
        <v>0.63333333300000005</v>
      </c>
      <c r="Z44" s="1">
        <v>0.66666666699999999</v>
      </c>
      <c r="AA44" s="1">
        <v>0.61666666699999995</v>
      </c>
      <c r="AB44" s="1">
        <v>0.66666666699999999</v>
      </c>
      <c r="AC44" s="1">
        <v>0.72222222199999997</v>
      </c>
      <c r="AD44" s="1">
        <v>0.47222222200000002</v>
      </c>
      <c r="AG44" s="2">
        <f t="shared" ref="AG44:AG47" si="69">AVERAGE(U44:AD44)</f>
        <v>0.66777777780000003</v>
      </c>
      <c r="AI44" s="1">
        <f t="shared" ref="AI44:AI47" si="70">_xlfn.STDEV.S(U44:AD44)</f>
        <v>8.0966385376820244E-2</v>
      </c>
      <c r="AK44" s="1" t="s">
        <v>9</v>
      </c>
      <c r="AL44" s="1">
        <v>0.625</v>
      </c>
      <c r="AM44" s="1">
        <v>0.68055555599999995</v>
      </c>
      <c r="AN44" s="1">
        <v>0.79166666699999999</v>
      </c>
      <c r="AO44" s="1">
        <v>0.81944444400000005</v>
      </c>
      <c r="AP44" s="1">
        <v>0.54861111100000004</v>
      </c>
      <c r="AQ44" s="1">
        <v>0.63888888899999996</v>
      </c>
      <c r="AR44" s="1">
        <v>0.83333333300000001</v>
      </c>
      <c r="AS44" s="1">
        <v>0.77777777800000003</v>
      </c>
      <c r="AT44" s="1">
        <v>0.71527777800000003</v>
      </c>
      <c r="AU44" s="1">
        <v>0.75694444400000005</v>
      </c>
      <c r="AX44" s="2">
        <f t="shared" ref="AX44:AX46" si="71">AVERAGE(AL44:AU44)</f>
        <v>0.71874999999999989</v>
      </c>
      <c r="AZ44" s="1">
        <f t="shared" ref="AZ44:AZ46" si="72">_xlfn.STDEV.S(AL44:AU44)</f>
        <v>9.3757144134744827E-2</v>
      </c>
      <c r="BB44" s="1">
        <v>0.74404761900000005</v>
      </c>
      <c r="BC44" s="1">
        <v>0.63095238099999995</v>
      </c>
      <c r="BD44" s="1">
        <v>0.74404761900000005</v>
      </c>
      <c r="BE44" s="1">
        <v>0.74404761900000005</v>
      </c>
      <c r="BF44" s="1">
        <v>0.61904761900000005</v>
      </c>
      <c r="BG44" s="1">
        <v>0.75</v>
      </c>
      <c r="BH44" s="1">
        <v>0.75</v>
      </c>
      <c r="BI44" s="1">
        <v>0.75</v>
      </c>
      <c r="BJ44" s="1">
        <v>0.71428571399999996</v>
      </c>
      <c r="BK44" s="1">
        <v>0.61309523799999999</v>
      </c>
      <c r="BN44" s="2">
        <f t="shared" ref="BN44:BN46" si="73">AVERAGE(BB44:BK44)</f>
        <v>0.7059523808999999</v>
      </c>
      <c r="BP44" s="1">
        <f t="shared" ref="BP44:BP46" si="74">_xlfn.STDEV.S(BB44:BK44)</f>
        <v>5.9669134769089048E-2</v>
      </c>
      <c r="BR44" s="1">
        <v>0.70998475599999999</v>
      </c>
      <c r="BS44" s="1">
        <v>0.69435975599999999</v>
      </c>
      <c r="BT44" s="1">
        <v>0.69112042699999998</v>
      </c>
      <c r="BU44" s="1">
        <v>0.69969512199999995</v>
      </c>
      <c r="BV44" s="1">
        <v>0.50685975599999999</v>
      </c>
      <c r="BW44" s="1">
        <v>0.71341463400000005</v>
      </c>
      <c r="BX44" s="1">
        <v>0.67416158500000001</v>
      </c>
      <c r="BY44" s="1">
        <v>0.76048018299999998</v>
      </c>
      <c r="BZ44" s="1">
        <v>0.68864329300000005</v>
      </c>
      <c r="CA44" s="1">
        <v>0.77286585399999996</v>
      </c>
      <c r="CD44" s="2">
        <f t="shared" ref="CD44:CD46" si="75">AVERAGE(BR44:CA44)</f>
        <v>0.69115853660000004</v>
      </c>
      <c r="CF44" s="1">
        <f t="shared" ref="CF44:CF46" si="76">_xlfn.STDEV.S(BR44:CA44)</f>
        <v>7.2015216507557364E-2</v>
      </c>
      <c r="CK44" s="1">
        <v>0.66501240699999997</v>
      </c>
      <c r="CL44" s="1">
        <v>0.55769230800000003</v>
      </c>
      <c r="CM44" s="1">
        <v>0.81389578200000001</v>
      </c>
      <c r="CN44" s="1">
        <v>0.5</v>
      </c>
      <c r="CO44" s="1">
        <v>0.56327543400000002</v>
      </c>
      <c r="CP44" s="1">
        <v>0.69292803999999997</v>
      </c>
      <c r="CQ44" s="1">
        <v>0.5</v>
      </c>
      <c r="CR44" s="1">
        <v>0.68114143900000002</v>
      </c>
      <c r="CS44" s="1">
        <v>0.74875930499999999</v>
      </c>
      <c r="CT44" s="1">
        <v>0.74503722100000003</v>
      </c>
      <c r="CW44" s="2">
        <f t="shared" ref="CW44:CW46" si="77">AVERAGE(CK44:CT44)</f>
        <v>0.64677419359999999</v>
      </c>
      <c r="CY44" s="1">
        <f t="shared" ref="CY44:CY46" si="78">_xlfn.STDEV.S(CK44:CT44)</f>
        <v>0.11036458839430355</v>
      </c>
      <c r="DC44" s="1">
        <v>0.71750000000000003</v>
      </c>
      <c r="DD44" s="1">
        <v>0.73750000000000004</v>
      </c>
      <c r="DE44" s="1">
        <v>0.67</v>
      </c>
      <c r="DF44" s="1">
        <v>0.67500000000000004</v>
      </c>
      <c r="DG44" s="1">
        <v>0.54749999999999999</v>
      </c>
      <c r="DH44" s="1">
        <v>0.6925</v>
      </c>
      <c r="DI44" s="1">
        <v>0.755</v>
      </c>
      <c r="DJ44" s="1">
        <v>0.66</v>
      </c>
      <c r="DK44" s="1">
        <v>0.69750000000000001</v>
      </c>
      <c r="DL44" s="1">
        <v>0.78249999999999997</v>
      </c>
      <c r="DO44" s="2">
        <f t="shared" ref="DO44:DO46" si="79">AVERAGE(DC44:DL44)</f>
        <v>0.69350000000000001</v>
      </c>
      <c r="DQ44" s="1">
        <f t="shared" ref="DQ44:DQ46" si="80">_xlfn.STDEV.S(DC44:DL44)</f>
        <v>6.4605641308548969E-2</v>
      </c>
    </row>
    <row r="45" spans="1:121" x14ac:dyDescent="0.3">
      <c r="B45" s="1" t="s">
        <v>10</v>
      </c>
      <c r="C45" s="1">
        <v>0.93913840900000001</v>
      </c>
      <c r="D45" s="1">
        <v>0.93043494900000001</v>
      </c>
      <c r="E45" s="1">
        <v>0.61386366000000003</v>
      </c>
      <c r="F45" s="1">
        <v>0.80122764800000001</v>
      </c>
      <c r="G45" s="1">
        <v>0.91686969399999996</v>
      </c>
      <c r="H45" s="1">
        <v>0.96761436999999995</v>
      </c>
      <c r="I45" s="1">
        <v>0.93395824500000002</v>
      </c>
      <c r="J45" s="1">
        <v>0.91286092500000005</v>
      </c>
      <c r="K45" s="1">
        <v>0.89140318600000001</v>
      </c>
      <c r="L45" s="1">
        <v>0.89179372700000004</v>
      </c>
      <c r="O45" s="2">
        <f t="shared" si="67"/>
        <v>0.87991648130000011</v>
      </c>
      <c r="Q45" s="1">
        <f t="shared" si="68"/>
        <v>0.10347877402483434</v>
      </c>
      <c r="T45" s="1" t="s">
        <v>10</v>
      </c>
      <c r="U45" s="1">
        <v>0.718858463</v>
      </c>
      <c r="V45" s="1">
        <v>0.71032070700000005</v>
      </c>
      <c r="W45" s="1">
        <v>0.74925163900000002</v>
      </c>
      <c r="X45" s="1">
        <v>0.71260693799999997</v>
      </c>
      <c r="Y45" s="1">
        <v>0.64022284900000004</v>
      </c>
      <c r="Z45" s="1">
        <v>0.65978832300000001</v>
      </c>
      <c r="AA45" s="1">
        <v>0.61198764699999997</v>
      </c>
      <c r="AB45" s="1">
        <v>0.66648371900000003</v>
      </c>
      <c r="AC45" s="1">
        <v>0.71964866299999997</v>
      </c>
      <c r="AD45" s="1">
        <v>0.42002094600000001</v>
      </c>
      <c r="AG45" s="2">
        <f t="shared" si="69"/>
        <v>0.66091898940000005</v>
      </c>
      <c r="AI45" s="1">
        <f t="shared" si="70"/>
        <v>9.4638321056987579E-2</v>
      </c>
      <c r="AK45" s="1" t="s">
        <v>10</v>
      </c>
      <c r="AL45" s="1">
        <v>0.60989565800000001</v>
      </c>
      <c r="AM45" s="1">
        <v>0.68590592100000003</v>
      </c>
      <c r="AN45" s="1">
        <v>0.78996111000000002</v>
      </c>
      <c r="AO45" s="1">
        <v>0.81666846699999995</v>
      </c>
      <c r="AP45" s="1">
        <v>0.52804465300000003</v>
      </c>
      <c r="AQ45" s="1">
        <v>0.63698732599999996</v>
      </c>
      <c r="AR45" s="1">
        <v>0.83167308799999995</v>
      </c>
      <c r="AS45" s="1">
        <v>0.7762445</v>
      </c>
      <c r="AT45" s="1">
        <v>0.69788379099999998</v>
      </c>
      <c r="AU45" s="1">
        <v>0.74014564900000002</v>
      </c>
      <c r="AX45" s="2">
        <f t="shared" si="71"/>
        <v>0.71134101629999991</v>
      </c>
      <c r="AZ45" s="1">
        <f t="shared" si="72"/>
        <v>9.834304884879834E-2</v>
      </c>
      <c r="BB45" s="1">
        <v>0.74403854999999997</v>
      </c>
      <c r="BC45" s="1">
        <v>0.584821429</v>
      </c>
      <c r="BD45" s="1">
        <v>0.735025492</v>
      </c>
      <c r="BE45" s="1">
        <v>0.735025492</v>
      </c>
      <c r="BF45" s="1">
        <v>0.571428571</v>
      </c>
      <c r="BG45" s="1">
        <v>0.74479166699999999</v>
      </c>
      <c r="BH45" s="1">
        <v>0.74176548099999995</v>
      </c>
      <c r="BI45" s="1">
        <v>0.74709677399999996</v>
      </c>
      <c r="BJ45" s="1">
        <v>0.69324406599999999</v>
      </c>
      <c r="BK45" s="1">
        <v>0.56664946999999999</v>
      </c>
      <c r="BN45" s="2">
        <f t="shared" si="73"/>
        <v>0.68638869920000001</v>
      </c>
      <c r="BP45" s="1">
        <f t="shared" si="74"/>
        <v>7.8975218332721961E-2</v>
      </c>
      <c r="BR45" s="1">
        <v>0.66835822300000003</v>
      </c>
      <c r="BS45" s="1">
        <v>0.655842594</v>
      </c>
      <c r="BT45" s="1">
        <v>0.67794621499999996</v>
      </c>
      <c r="BU45" s="1">
        <v>0.67550952900000005</v>
      </c>
      <c r="BV45" s="1">
        <v>0.41010100999999999</v>
      </c>
      <c r="BW45" s="1">
        <v>0.66485958499999998</v>
      </c>
      <c r="BX45" s="1">
        <v>0.67518663199999995</v>
      </c>
      <c r="BY45" s="1">
        <v>0.72827487499999999</v>
      </c>
      <c r="BZ45" s="1">
        <v>0.68398268399999995</v>
      </c>
      <c r="CA45" s="1">
        <v>0.760262726</v>
      </c>
      <c r="CD45" s="2">
        <f t="shared" si="75"/>
        <v>0.66003240730000001</v>
      </c>
      <c r="CF45" s="1">
        <f t="shared" si="76"/>
        <v>9.3477710956272289E-2</v>
      </c>
      <c r="CK45" s="1">
        <v>0.68571428599999995</v>
      </c>
      <c r="CL45" s="1">
        <v>0.52521698299999997</v>
      </c>
      <c r="CM45" s="1">
        <v>0.828125</v>
      </c>
      <c r="CN45" s="1">
        <v>0.41333333300000002</v>
      </c>
      <c r="CO45" s="1">
        <v>0.42708333300000001</v>
      </c>
      <c r="CP45" s="1">
        <v>0.66624525899999998</v>
      </c>
      <c r="CQ45" s="1">
        <v>0.41333333300000002</v>
      </c>
      <c r="CR45" s="1">
        <v>0.60858189399999996</v>
      </c>
      <c r="CS45" s="1">
        <v>0.68400053199999999</v>
      </c>
      <c r="CT45" s="1">
        <v>0.76919041799999999</v>
      </c>
      <c r="CW45" s="2">
        <f t="shared" si="77"/>
        <v>0.60208243710000009</v>
      </c>
      <c r="CY45" s="1">
        <f t="shared" si="78"/>
        <v>0.15080145949279938</v>
      </c>
      <c r="DC45" s="1">
        <v>0.71988178400000002</v>
      </c>
      <c r="DD45" s="1">
        <v>0.73562884900000003</v>
      </c>
      <c r="DE45" s="1">
        <v>0.65605513299999996</v>
      </c>
      <c r="DF45" s="1">
        <v>0.641229198</v>
      </c>
      <c r="DG45" s="1">
        <v>0.52672658800000005</v>
      </c>
      <c r="DH45" s="1">
        <v>0.68657205399999999</v>
      </c>
      <c r="DI45" s="1">
        <v>0.74979746199999997</v>
      </c>
      <c r="DJ45" s="1">
        <v>0.651560735</v>
      </c>
      <c r="DK45" s="1">
        <v>0.69718521600000005</v>
      </c>
      <c r="DL45" s="1">
        <v>0.77535112299999998</v>
      </c>
      <c r="DO45" s="2">
        <f t="shared" si="79"/>
        <v>0.68399881420000008</v>
      </c>
      <c r="DQ45" s="1">
        <f t="shared" si="80"/>
        <v>7.0871815939457627E-2</v>
      </c>
    </row>
    <row r="46" spans="1:121" x14ac:dyDescent="0.3">
      <c r="B46" s="1" t="s">
        <v>11</v>
      </c>
      <c r="C46" s="1">
        <v>0.99</v>
      </c>
      <c r="D46" s="1">
        <v>0.98819999999999997</v>
      </c>
      <c r="E46" s="1">
        <v>0.89959999999999996</v>
      </c>
      <c r="F46" s="1">
        <v>0.98570000000000002</v>
      </c>
      <c r="G46" s="1">
        <v>0.99150000000000005</v>
      </c>
      <c r="H46" s="1">
        <v>0.99199999999999999</v>
      </c>
      <c r="I46" s="1">
        <v>0.99450000000000005</v>
      </c>
      <c r="J46" s="1">
        <v>0.98799999999999999</v>
      </c>
      <c r="K46" s="1">
        <v>0.98819999999999997</v>
      </c>
      <c r="L46" s="1">
        <v>0.98450000000000004</v>
      </c>
      <c r="O46" s="2">
        <f t="shared" si="67"/>
        <v>0.98021999999999987</v>
      </c>
      <c r="Q46" s="1">
        <f t="shared" si="68"/>
        <v>2.8482735511573026E-2</v>
      </c>
      <c r="T46" s="1" t="s">
        <v>11</v>
      </c>
      <c r="U46" s="1">
        <v>0.96830000000000005</v>
      </c>
      <c r="V46" s="1">
        <v>0.96830000000000005</v>
      </c>
      <c r="W46" s="1">
        <v>0.96650000000000003</v>
      </c>
      <c r="X46" s="1">
        <v>0.95299999999999996</v>
      </c>
      <c r="Y46" s="1">
        <v>0.96079999999999999</v>
      </c>
      <c r="Z46" s="1">
        <v>0.95450000000000002</v>
      </c>
      <c r="AA46" s="1">
        <v>0.94530000000000003</v>
      </c>
      <c r="AB46" s="1">
        <v>0.96789999999999998</v>
      </c>
      <c r="AC46" s="1">
        <v>0.9032</v>
      </c>
      <c r="AD46" s="1">
        <v>0.96099999999999997</v>
      </c>
      <c r="AG46" s="2">
        <f t="shared" si="69"/>
        <v>0.95488000000000017</v>
      </c>
      <c r="AI46" s="1">
        <f t="shared" si="70"/>
        <v>1.9730168665157317E-2</v>
      </c>
      <c r="AK46" s="1" t="s">
        <v>11</v>
      </c>
      <c r="AL46" s="1">
        <v>0.77500000000000002</v>
      </c>
      <c r="AM46" s="1">
        <v>0.80833333299999999</v>
      </c>
      <c r="AN46" s="1">
        <v>0.875</v>
      </c>
      <c r="AO46" s="1">
        <v>0.89166666699999997</v>
      </c>
      <c r="AP46" s="1">
        <v>0.72916666699999999</v>
      </c>
      <c r="AQ46" s="1">
        <v>0.78333333299999997</v>
      </c>
      <c r="AR46" s="1">
        <v>0.9</v>
      </c>
      <c r="AS46" s="1">
        <v>0.86666666699999995</v>
      </c>
      <c r="AT46" s="1">
        <v>0.82916666699999997</v>
      </c>
      <c r="AU46" s="1">
        <v>0.85416666699999999</v>
      </c>
      <c r="AX46" s="2">
        <f t="shared" si="71"/>
        <v>0.83125000010000005</v>
      </c>
      <c r="AZ46" s="1">
        <f t="shared" si="72"/>
        <v>5.6254286587011128E-2</v>
      </c>
      <c r="BB46" s="1">
        <v>0.74404761900000005</v>
      </c>
      <c r="BC46" s="1">
        <v>0.63095238099999995</v>
      </c>
      <c r="BD46" s="1">
        <v>0.74404761900000005</v>
      </c>
      <c r="BE46" s="1">
        <v>0.74404761900000005</v>
      </c>
      <c r="BF46" s="1">
        <v>0.61904761900000005</v>
      </c>
      <c r="BG46" s="1">
        <v>0.75</v>
      </c>
      <c r="BH46" s="1">
        <v>0.75</v>
      </c>
      <c r="BI46" s="1">
        <v>0.75</v>
      </c>
      <c r="BJ46" s="1">
        <v>0.71428571399999996</v>
      </c>
      <c r="BK46" s="1">
        <v>0.61309523799999999</v>
      </c>
      <c r="BN46" s="2">
        <f t="shared" si="73"/>
        <v>0.7059523808999999</v>
      </c>
      <c r="BP46" s="1">
        <f t="shared" si="74"/>
        <v>5.9669134769089048E-2</v>
      </c>
      <c r="BR46" s="1">
        <v>0.70998475599999999</v>
      </c>
      <c r="BS46" s="1">
        <v>0.69435975599999999</v>
      </c>
      <c r="BT46" s="1">
        <v>0.69112042699999998</v>
      </c>
      <c r="BU46" s="1">
        <v>0.69969512199999995</v>
      </c>
      <c r="BV46" s="1">
        <v>0.50685975599999999</v>
      </c>
      <c r="BW46" s="1">
        <v>0.71341463400000005</v>
      </c>
      <c r="BX46" s="1">
        <v>0.67416158500000001</v>
      </c>
      <c r="BY46" s="1">
        <v>0.76048018299999998</v>
      </c>
      <c r="BZ46" s="1">
        <v>0.68864329300000005</v>
      </c>
      <c r="CA46" s="1">
        <v>0.77286585399999996</v>
      </c>
      <c r="CD46" s="2">
        <f t="shared" si="75"/>
        <v>0.69115853660000004</v>
      </c>
      <c r="CF46" s="1">
        <f t="shared" si="76"/>
        <v>7.2015216507557364E-2</v>
      </c>
      <c r="CK46" s="1">
        <v>0.66501240699999997</v>
      </c>
      <c r="CL46" s="1">
        <v>0.55769230800000003</v>
      </c>
      <c r="CM46" s="1">
        <v>0.81389578200000001</v>
      </c>
      <c r="CN46" s="1">
        <v>0.5</v>
      </c>
      <c r="CO46" s="1">
        <v>0.56327543400000002</v>
      </c>
      <c r="CP46" s="1">
        <v>0.69292803999999997</v>
      </c>
      <c r="CQ46" s="1">
        <v>0.5</v>
      </c>
      <c r="CR46" s="1">
        <v>0.68114143900000002</v>
      </c>
      <c r="CS46" s="1">
        <v>0.74875930499999999</v>
      </c>
      <c r="CT46" s="1">
        <v>0.74503722100000003</v>
      </c>
      <c r="CW46" s="2">
        <f t="shared" si="77"/>
        <v>0.64677419359999999</v>
      </c>
      <c r="CY46" s="1">
        <f t="shared" si="78"/>
        <v>0.11036458839430355</v>
      </c>
      <c r="DC46" s="1">
        <v>0.82343750000000004</v>
      </c>
      <c r="DD46" s="1">
        <v>0.8359375</v>
      </c>
      <c r="DE46" s="1">
        <v>0.79374999999999996</v>
      </c>
      <c r="DF46" s="1">
        <v>0.796875</v>
      </c>
      <c r="DG46" s="1">
        <v>0.71718749999999998</v>
      </c>
      <c r="DH46" s="1">
        <v>0.80781250000000004</v>
      </c>
      <c r="DI46" s="1">
        <v>0.84687500000000004</v>
      </c>
      <c r="DJ46" s="1">
        <v>0.78749999999999998</v>
      </c>
      <c r="DK46" s="1">
        <v>0.81093749999999998</v>
      </c>
      <c r="DL46" s="1">
        <v>0.86406249999999996</v>
      </c>
      <c r="DO46" s="2">
        <f t="shared" si="79"/>
        <v>0.80843749999999992</v>
      </c>
      <c r="DQ46" s="1">
        <f t="shared" si="80"/>
        <v>4.0378525817843118E-2</v>
      </c>
    </row>
    <row r="47" spans="1:121" x14ac:dyDescent="0.3">
      <c r="B47" s="1" t="s">
        <v>12</v>
      </c>
      <c r="C47" s="1">
        <v>0.924893929</v>
      </c>
      <c r="D47" s="1">
        <v>0.91286475700000003</v>
      </c>
      <c r="E47" s="1">
        <v>0.55171582900000005</v>
      </c>
      <c r="F47" s="1">
        <v>0.78741235600000004</v>
      </c>
      <c r="G47" s="1">
        <v>0.89563951900000005</v>
      </c>
      <c r="H47" s="1">
        <v>0.95963973800000002</v>
      </c>
      <c r="I47" s="1">
        <v>0.91927608199999999</v>
      </c>
      <c r="J47" s="1">
        <v>0.89110255999999999</v>
      </c>
      <c r="K47" s="1">
        <v>0.87727999199999995</v>
      </c>
      <c r="L47" s="1">
        <v>0.870431646</v>
      </c>
      <c r="O47" s="2">
        <f>AVERAGE(C47:L47)</f>
        <v>0.85902564079999999</v>
      </c>
      <c r="Q47" s="1">
        <f>_xlfn.STDEV.S(C47:L47)</f>
        <v>0.11709027862993449</v>
      </c>
      <c r="T47" s="1" t="s">
        <v>12</v>
      </c>
      <c r="U47" s="1">
        <v>0.69259420699999996</v>
      </c>
      <c r="V47" s="1">
        <v>0.68064824099999999</v>
      </c>
      <c r="W47" s="1">
        <v>0.72386245199999999</v>
      </c>
      <c r="X47" s="1">
        <v>0.68657575599999998</v>
      </c>
      <c r="Y47" s="1">
        <v>0.59878495099999995</v>
      </c>
      <c r="Z47" s="1">
        <v>0.63243364899999999</v>
      </c>
      <c r="AA47" s="1">
        <v>0.57807255899999999</v>
      </c>
      <c r="AB47" s="1">
        <v>0.63282789299999997</v>
      </c>
      <c r="AC47" s="1">
        <v>0.69278497800000005</v>
      </c>
      <c r="AD47" s="1">
        <v>0.42626764900000003</v>
      </c>
      <c r="AG47" s="2">
        <f t="shared" si="69"/>
        <v>0.63448523349999986</v>
      </c>
      <c r="AI47" s="1">
        <f t="shared" si="70"/>
        <v>8.6555482706428974E-2</v>
      </c>
      <c r="AK47" s="1" t="s">
        <v>12</v>
      </c>
      <c r="AL47" s="1">
        <v>0.55694054199999998</v>
      </c>
      <c r="AM47" s="1">
        <v>0.62209040100000002</v>
      </c>
      <c r="AN47" s="1">
        <v>0.75100026099999995</v>
      </c>
      <c r="AO47" s="1">
        <v>0.78565554000000004</v>
      </c>
      <c r="AP47" s="1">
        <v>0.473131044</v>
      </c>
      <c r="AQ47" s="1">
        <v>0.576457518</v>
      </c>
      <c r="AR47" s="1">
        <v>0.801206427</v>
      </c>
      <c r="AS47" s="1">
        <v>0.73478050699999997</v>
      </c>
      <c r="AT47" s="1">
        <v>0.67115654000000002</v>
      </c>
      <c r="AU47" s="1">
        <v>0.71443708299999997</v>
      </c>
      <c r="AX47" s="2">
        <f>AVERAGE(AL47:AU47)</f>
        <v>0.66868558630000008</v>
      </c>
      <c r="AZ47" s="1">
        <f>_xlfn.STDEV.S(AL47:AU47)</f>
        <v>0.1084706587973908</v>
      </c>
      <c r="BB47" s="1">
        <v>0.48812982900000002</v>
      </c>
      <c r="BC47" s="1">
        <v>0.351382111</v>
      </c>
      <c r="BD47" s="1">
        <v>0.52516648399999999</v>
      </c>
      <c r="BE47" s="1">
        <v>0.52516648399999999</v>
      </c>
      <c r="BF47" s="1">
        <v>0.31943828200000002</v>
      </c>
      <c r="BG47" s="1">
        <v>0.52174919500000005</v>
      </c>
      <c r="BH47" s="1">
        <v>0.53530337900000002</v>
      </c>
      <c r="BI47" s="1">
        <v>0.51189069700000001</v>
      </c>
      <c r="BJ47" s="1">
        <v>0.50311529499999996</v>
      </c>
      <c r="BK47" s="1">
        <v>0.29925898699999998</v>
      </c>
      <c r="BN47" s="2">
        <f>AVERAGE(BB47:BK47)</f>
        <v>0.45806007430000006</v>
      </c>
      <c r="BP47" s="1">
        <f>_xlfn.STDEV.S(BB47:BK47)</f>
        <v>9.4677960678666837E-2</v>
      </c>
      <c r="BR47" s="1">
        <v>0.47096700699999999</v>
      </c>
      <c r="BS47" s="1">
        <v>0.42918711599999998</v>
      </c>
      <c r="BT47" s="1">
        <v>0.38455603799999999</v>
      </c>
      <c r="BU47" s="1">
        <v>0.41566884500000001</v>
      </c>
      <c r="BV47" s="1">
        <v>2.9912385E-2</v>
      </c>
      <c r="BW47" s="1">
        <v>0.49608442699999999</v>
      </c>
      <c r="BX47" s="1">
        <v>0.36601203900000001</v>
      </c>
      <c r="BY47" s="1">
        <v>0.55980226799999999</v>
      </c>
      <c r="BZ47" s="1">
        <v>0.37444338999999999</v>
      </c>
      <c r="CA47" s="1">
        <v>0.54672228899999997</v>
      </c>
      <c r="CD47" s="2">
        <f>AVERAGE(BR47:CA47)</f>
        <v>0.40733558040000001</v>
      </c>
      <c r="CF47" s="1">
        <f>_xlfn.STDEV.S(BR47:CA47)</f>
        <v>0.14940760866169567</v>
      </c>
      <c r="CK47" s="1">
        <v>0.47444056299999998</v>
      </c>
      <c r="CL47" s="1">
        <v>0.29010842100000001</v>
      </c>
      <c r="CM47" s="1">
        <v>0.661476905</v>
      </c>
      <c r="CN47" s="1">
        <v>0</v>
      </c>
      <c r="CO47" s="1">
        <v>0.143140449</v>
      </c>
      <c r="CP47" s="1">
        <v>0.356633319</v>
      </c>
      <c r="CQ47" s="1">
        <v>0</v>
      </c>
      <c r="CR47" s="1">
        <v>0.33618428299999997</v>
      </c>
      <c r="CS47" s="1">
        <v>0.45504148500000002</v>
      </c>
      <c r="CT47" s="1">
        <v>0.56635786700000001</v>
      </c>
      <c r="CW47" s="2">
        <f>AVERAGE(CK47:CT47)</f>
        <v>0.3283383292</v>
      </c>
      <c r="CY47" s="1">
        <f>_xlfn.STDEV.S(CK47:CT47)</f>
        <v>0.22540536976391617</v>
      </c>
      <c r="DC47" s="1">
        <v>0.65898173900000001</v>
      </c>
      <c r="DD47" s="1">
        <v>0.67654768700000001</v>
      </c>
      <c r="DE47" s="1">
        <v>0.59692948099999998</v>
      </c>
      <c r="DF47" s="1">
        <v>0.616753102</v>
      </c>
      <c r="DG47" s="1">
        <v>0.452751917</v>
      </c>
      <c r="DH47" s="1">
        <v>0.62129593699999996</v>
      </c>
      <c r="DI47" s="1">
        <v>0.69930642899999995</v>
      </c>
      <c r="DJ47" s="1">
        <v>0.58270345599999995</v>
      </c>
      <c r="DK47" s="1">
        <v>0.62840406299999996</v>
      </c>
      <c r="DL47" s="1">
        <v>0.73511307400000003</v>
      </c>
      <c r="DO47" s="2">
        <f>AVERAGE(DC47:DL47)</f>
        <v>0.62687868849999995</v>
      </c>
      <c r="DQ47" s="1">
        <f>_xlfn.STDEV.S(DC47:DL47)</f>
        <v>7.7289236849398271E-2</v>
      </c>
    </row>
    <row r="101" spans="119:127" x14ac:dyDescent="0.3">
      <c r="DO101" s="8"/>
      <c r="DP101" s="8"/>
    </row>
    <row r="102" spans="119:127" x14ac:dyDescent="0.3">
      <c r="DO102" s="8"/>
      <c r="DP102" s="8"/>
    </row>
    <row r="103" spans="119:127" x14ac:dyDescent="0.3">
      <c r="DO103" s="8"/>
      <c r="DP103" s="8"/>
    </row>
    <row r="104" spans="119:127" x14ac:dyDescent="0.3">
      <c r="DO104" s="8"/>
      <c r="DP104" s="8"/>
    </row>
    <row r="105" spans="119:127" x14ac:dyDescent="0.3">
      <c r="DO105" s="8"/>
      <c r="DP105" s="8"/>
    </row>
    <row r="106" spans="119:127" x14ac:dyDescent="0.3">
      <c r="DV106" s="8"/>
      <c r="DW106" s="9"/>
    </row>
    <row r="107" spans="119:127" x14ac:dyDescent="0.3">
      <c r="DV107" s="9"/>
      <c r="DW107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Mingyang Guo</dc:creator>
  <cp:lastModifiedBy>Mingyang GUO (20413089)</cp:lastModifiedBy>
  <dcterms:created xsi:type="dcterms:W3CDTF">2015-06-05T18:19:34Z</dcterms:created>
  <dcterms:modified xsi:type="dcterms:W3CDTF">2025-12-16T03:07:09Z</dcterms:modified>
</cp:coreProperties>
</file>